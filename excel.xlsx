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pi\Desktop\"/>
    </mc:Choice>
  </mc:AlternateContent>
  <xr:revisionPtr revIDLastSave="0" documentId="8_{E1207CD1-4D30-48C8-B12E-750878A5F1BE}" xr6:coauthVersionLast="47" xr6:coauthVersionMax="47" xr10:uidLastSave="{00000000-0000-0000-0000-000000000000}"/>
  <bookViews>
    <workbookView xWindow="-108" yWindow="-108" windowWidth="23256" windowHeight="12456" tabRatio="599" firstSheet="7" activeTab="9" xr2:uid="{71C39E6E-FDBF-439D-9C0B-BD57194F1296}"/>
  </bookViews>
  <sheets>
    <sheet name="Raw_Data" sheetId="2" r:id="rId1"/>
    <sheet name="Cleaning_Log" sheetId="3" r:id="rId2"/>
    <sheet name="Validation" sheetId="4" r:id="rId3"/>
    <sheet name="Weekly_Combo_Data" sheetId="7" r:id="rId4"/>
    <sheet name="Customer_Analysis" sheetId="12" r:id="rId5"/>
    <sheet name="Category_Analysis" sheetId="10" r:id="rId6"/>
    <sheet name="Viz_1_Weekly_Returns" sheetId="15" r:id="rId7"/>
    <sheet name="Viz_2_Category" sheetId="17" r:id="rId8"/>
    <sheet name="Viz_3_Return_Reasons" sheetId="18" r:id="rId9"/>
    <sheet name="Viz_4_Customer_Source" sheetId="19" r:id="rId10"/>
    <sheet name="Viz_5_Payment" sheetId="14" r:id="rId11"/>
    <sheet name="KPI_Summary" sheetId="5" r:id="rId12"/>
  </sheets>
  <definedNames>
    <definedName name="_xlnm._FilterDatabase" localSheetId="0" hidden="1">Raw_Data!$AA$1:$AO$347</definedName>
    <definedName name="ExternalData_1" localSheetId="0" hidden="1">Raw_Data!$A$1:$W$347</definedName>
  </definedNames>
  <calcPr calcId="191029"/>
  <pivotCaches>
    <pivotCache cacheId="5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4" l="1"/>
  <c r="C2" i="14"/>
  <c r="D3" i="14"/>
  <c r="D2" i="14"/>
  <c r="B13" i="17"/>
  <c r="B14" i="17"/>
  <c r="B15" i="17"/>
  <c r="B16" i="17"/>
  <c r="B12" i="17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22" i="15"/>
  <c r="F13" i="15"/>
  <c r="F15" i="15"/>
  <c r="F18" i="15"/>
  <c r="F10" i="15"/>
  <c r="F11" i="15"/>
  <c r="F12" i="15"/>
  <c r="F16" i="15"/>
  <c r="F17" i="15"/>
  <c r="F9" i="15"/>
  <c r="F8" i="15"/>
  <c r="F7" i="15"/>
  <c r="F6" i="15"/>
  <c r="F5" i="15"/>
  <c r="F4" i="15"/>
  <c r="D17" i="12"/>
  <c r="D16" i="12"/>
  <c r="B18" i="12"/>
  <c r="C18" i="12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10" i="5"/>
  <c r="B6" i="5"/>
  <c r="B5" i="5"/>
  <c r="B4" i="5"/>
  <c r="B3" i="5"/>
  <c r="B2" i="5"/>
  <c r="D11" i="4"/>
  <c r="E11" i="4"/>
  <c r="C11" i="4" a="1"/>
  <c r="C11" i="4" s="1"/>
  <c r="D10" i="4"/>
  <c r="E10" i="4"/>
  <c r="C10" i="4"/>
  <c r="D9" i="4"/>
  <c r="E9" i="4"/>
  <c r="C9" i="4" a="1"/>
  <c r="C9" i="4" s="1"/>
  <c r="E8" i="4"/>
  <c r="C8" i="4" a="1"/>
  <c r="C8" i="4" s="1"/>
  <c r="D8" i="4" s="1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2" i="2"/>
  <c r="D7" i="4"/>
  <c r="E7" i="4"/>
  <c r="C7" i="4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2" i="2"/>
  <c r="E6" i="4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2" i="2"/>
  <c r="C6" i="4"/>
  <c r="C5" i="4"/>
  <c r="E5" i="4" s="1"/>
  <c r="D5" i="4" s="1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2" i="2"/>
  <c r="C4" i="4" a="1"/>
  <c r="C4" i="4" s="1"/>
  <c r="E4" i="4" s="1"/>
  <c r="D4" i="4" s="1"/>
  <c r="C3" i="4"/>
  <c r="E3" i="4" s="1"/>
  <c r="D3" i="4" s="1"/>
  <c r="C2" i="4"/>
  <c r="E2" i="4" s="1"/>
  <c r="D2" i="4" s="1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M2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2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2" i="2"/>
  <c r="AH2" i="2"/>
  <c r="AG3" i="2"/>
  <c r="AI3" i="2" s="1"/>
  <c r="AG4" i="2"/>
  <c r="AI4" i="2" s="1"/>
  <c r="AG5" i="2"/>
  <c r="AI5" i="2" s="1"/>
  <c r="AG6" i="2"/>
  <c r="AI6" i="2" s="1"/>
  <c r="AG7" i="2"/>
  <c r="AI7" i="2" s="1"/>
  <c r="AG8" i="2"/>
  <c r="AI8" i="2" s="1"/>
  <c r="AG9" i="2"/>
  <c r="AI9" i="2" s="1"/>
  <c r="AG10" i="2"/>
  <c r="AI10" i="2" s="1"/>
  <c r="AG11" i="2"/>
  <c r="AI11" i="2" s="1"/>
  <c r="AG12" i="2"/>
  <c r="AI12" i="2" s="1"/>
  <c r="AG13" i="2"/>
  <c r="AI13" i="2" s="1"/>
  <c r="AG14" i="2"/>
  <c r="AI14" i="2" s="1"/>
  <c r="AG15" i="2"/>
  <c r="AI15" i="2" s="1"/>
  <c r="AG16" i="2"/>
  <c r="AI16" i="2" s="1"/>
  <c r="AG17" i="2"/>
  <c r="AI17" i="2" s="1"/>
  <c r="AG18" i="2"/>
  <c r="AI18" i="2" s="1"/>
  <c r="AG19" i="2"/>
  <c r="AI19" i="2" s="1"/>
  <c r="AG20" i="2"/>
  <c r="AI20" i="2" s="1"/>
  <c r="AG21" i="2"/>
  <c r="AI21" i="2" s="1"/>
  <c r="AG22" i="2"/>
  <c r="AI22" i="2" s="1"/>
  <c r="AG23" i="2"/>
  <c r="AI23" i="2" s="1"/>
  <c r="AG24" i="2"/>
  <c r="AI24" i="2" s="1"/>
  <c r="AG25" i="2"/>
  <c r="AI25" i="2" s="1"/>
  <c r="AG26" i="2"/>
  <c r="AI26" i="2" s="1"/>
  <c r="AG27" i="2"/>
  <c r="AI27" i="2" s="1"/>
  <c r="AG28" i="2"/>
  <c r="AI28" i="2" s="1"/>
  <c r="AG29" i="2"/>
  <c r="AI29" i="2" s="1"/>
  <c r="AG30" i="2"/>
  <c r="AI30" i="2" s="1"/>
  <c r="AG31" i="2"/>
  <c r="AI31" i="2" s="1"/>
  <c r="AG32" i="2"/>
  <c r="AI32" i="2" s="1"/>
  <c r="AG33" i="2"/>
  <c r="AI33" i="2" s="1"/>
  <c r="AG34" i="2"/>
  <c r="AI34" i="2" s="1"/>
  <c r="AG35" i="2"/>
  <c r="AI35" i="2" s="1"/>
  <c r="AG36" i="2"/>
  <c r="AI36" i="2" s="1"/>
  <c r="AG37" i="2"/>
  <c r="AI37" i="2" s="1"/>
  <c r="AG38" i="2"/>
  <c r="AI38" i="2" s="1"/>
  <c r="AG39" i="2"/>
  <c r="AI39" i="2" s="1"/>
  <c r="AG40" i="2"/>
  <c r="AI40" i="2" s="1"/>
  <c r="AG41" i="2"/>
  <c r="AI41" i="2" s="1"/>
  <c r="AG42" i="2"/>
  <c r="AI42" i="2" s="1"/>
  <c r="AG43" i="2"/>
  <c r="AI43" i="2" s="1"/>
  <c r="AG44" i="2"/>
  <c r="AI44" i="2" s="1"/>
  <c r="AG45" i="2"/>
  <c r="AI45" i="2" s="1"/>
  <c r="AG46" i="2"/>
  <c r="AI46" i="2" s="1"/>
  <c r="AG47" i="2"/>
  <c r="AI47" i="2" s="1"/>
  <c r="AG48" i="2"/>
  <c r="AI48" i="2" s="1"/>
  <c r="AG49" i="2"/>
  <c r="AI49" i="2" s="1"/>
  <c r="AG50" i="2"/>
  <c r="AI50" i="2" s="1"/>
  <c r="AG51" i="2"/>
  <c r="AI51" i="2" s="1"/>
  <c r="AG52" i="2"/>
  <c r="AI52" i="2" s="1"/>
  <c r="AG53" i="2"/>
  <c r="AI53" i="2" s="1"/>
  <c r="AG54" i="2"/>
  <c r="AI54" i="2" s="1"/>
  <c r="AG55" i="2"/>
  <c r="AI55" i="2" s="1"/>
  <c r="AG56" i="2"/>
  <c r="AI56" i="2" s="1"/>
  <c r="AG57" i="2"/>
  <c r="AI57" i="2" s="1"/>
  <c r="AG58" i="2"/>
  <c r="AI58" i="2" s="1"/>
  <c r="AG59" i="2"/>
  <c r="AI59" i="2" s="1"/>
  <c r="AG60" i="2"/>
  <c r="AI60" i="2" s="1"/>
  <c r="AG61" i="2"/>
  <c r="AI61" i="2" s="1"/>
  <c r="AG62" i="2"/>
  <c r="AI62" i="2" s="1"/>
  <c r="AG63" i="2"/>
  <c r="AI63" i="2" s="1"/>
  <c r="AG64" i="2"/>
  <c r="AI64" i="2" s="1"/>
  <c r="AG65" i="2"/>
  <c r="AI65" i="2" s="1"/>
  <c r="AG66" i="2"/>
  <c r="AI66" i="2" s="1"/>
  <c r="AG67" i="2"/>
  <c r="AI67" i="2" s="1"/>
  <c r="AG68" i="2"/>
  <c r="AI68" i="2" s="1"/>
  <c r="AG69" i="2"/>
  <c r="AI69" i="2" s="1"/>
  <c r="AG70" i="2"/>
  <c r="AI70" i="2" s="1"/>
  <c r="AG71" i="2"/>
  <c r="AI71" i="2" s="1"/>
  <c r="AG72" i="2"/>
  <c r="AI72" i="2" s="1"/>
  <c r="AG73" i="2"/>
  <c r="AI73" i="2" s="1"/>
  <c r="AG74" i="2"/>
  <c r="AI74" i="2" s="1"/>
  <c r="AG75" i="2"/>
  <c r="AI75" i="2" s="1"/>
  <c r="AG76" i="2"/>
  <c r="AI76" i="2" s="1"/>
  <c r="AG77" i="2"/>
  <c r="AI77" i="2" s="1"/>
  <c r="AG78" i="2"/>
  <c r="AI78" i="2" s="1"/>
  <c r="AG79" i="2"/>
  <c r="AI79" i="2" s="1"/>
  <c r="AG80" i="2"/>
  <c r="AI80" i="2" s="1"/>
  <c r="AG81" i="2"/>
  <c r="AI81" i="2" s="1"/>
  <c r="AG82" i="2"/>
  <c r="AI82" i="2" s="1"/>
  <c r="AG83" i="2"/>
  <c r="AI83" i="2" s="1"/>
  <c r="AG84" i="2"/>
  <c r="AI84" i="2" s="1"/>
  <c r="AG85" i="2"/>
  <c r="AI85" i="2" s="1"/>
  <c r="AG86" i="2"/>
  <c r="AI86" i="2" s="1"/>
  <c r="AG87" i="2"/>
  <c r="AI87" i="2" s="1"/>
  <c r="AG88" i="2"/>
  <c r="AI88" i="2" s="1"/>
  <c r="AG89" i="2"/>
  <c r="AI89" i="2" s="1"/>
  <c r="AG90" i="2"/>
  <c r="AI90" i="2" s="1"/>
  <c r="AG91" i="2"/>
  <c r="AI91" i="2" s="1"/>
  <c r="AG92" i="2"/>
  <c r="AI92" i="2" s="1"/>
  <c r="AG93" i="2"/>
  <c r="AI93" i="2" s="1"/>
  <c r="AG94" i="2"/>
  <c r="AI94" i="2" s="1"/>
  <c r="AG95" i="2"/>
  <c r="AI95" i="2" s="1"/>
  <c r="AG96" i="2"/>
  <c r="AI96" i="2" s="1"/>
  <c r="AG97" i="2"/>
  <c r="AI97" i="2" s="1"/>
  <c r="AG98" i="2"/>
  <c r="AI98" i="2" s="1"/>
  <c r="AG99" i="2"/>
  <c r="AI99" i="2" s="1"/>
  <c r="AG100" i="2"/>
  <c r="AI100" i="2" s="1"/>
  <c r="AG101" i="2"/>
  <c r="AI101" i="2" s="1"/>
  <c r="AG102" i="2"/>
  <c r="AI102" i="2" s="1"/>
  <c r="AG103" i="2"/>
  <c r="AI103" i="2" s="1"/>
  <c r="AG104" i="2"/>
  <c r="AI104" i="2" s="1"/>
  <c r="AG105" i="2"/>
  <c r="AI105" i="2" s="1"/>
  <c r="AG106" i="2"/>
  <c r="AI106" i="2" s="1"/>
  <c r="AG107" i="2"/>
  <c r="AI107" i="2" s="1"/>
  <c r="AG108" i="2"/>
  <c r="AI108" i="2" s="1"/>
  <c r="AG109" i="2"/>
  <c r="AI109" i="2" s="1"/>
  <c r="AG110" i="2"/>
  <c r="AI110" i="2" s="1"/>
  <c r="AG111" i="2"/>
  <c r="AI111" i="2" s="1"/>
  <c r="AG112" i="2"/>
  <c r="AI112" i="2" s="1"/>
  <c r="AG113" i="2"/>
  <c r="AI113" i="2" s="1"/>
  <c r="AG114" i="2"/>
  <c r="AI114" i="2" s="1"/>
  <c r="AG115" i="2"/>
  <c r="AI115" i="2" s="1"/>
  <c r="AG116" i="2"/>
  <c r="AI116" i="2" s="1"/>
  <c r="AG117" i="2"/>
  <c r="AI117" i="2" s="1"/>
  <c r="AG118" i="2"/>
  <c r="AI118" i="2" s="1"/>
  <c r="AG119" i="2"/>
  <c r="AI119" i="2" s="1"/>
  <c r="AG120" i="2"/>
  <c r="AI120" i="2" s="1"/>
  <c r="AG121" i="2"/>
  <c r="AI121" i="2" s="1"/>
  <c r="AG122" i="2"/>
  <c r="AI122" i="2" s="1"/>
  <c r="AG123" i="2"/>
  <c r="AI123" i="2" s="1"/>
  <c r="AG124" i="2"/>
  <c r="AI124" i="2" s="1"/>
  <c r="AG125" i="2"/>
  <c r="AI125" i="2" s="1"/>
  <c r="AG126" i="2"/>
  <c r="AI126" i="2" s="1"/>
  <c r="AG127" i="2"/>
  <c r="AI127" i="2" s="1"/>
  <c r="AG128" i="2"/>
  <c r="AI128" i="2" s="1"/>
  <c r="AG129" i="2"/>
  <c r="AI129" i="2" s="1"/>
  <c r="AG130" i="2"/>
  <c r="AI130" i="2" s="1"/>
  <c r="AG131" i="2"/>
  <c r="AI131" i="2" s="1"/>
  <c r="AG132" i="2"/>
  <c r="AI132" i="2" s="1"/>
  <c r="AG133" i="2"/>
  <c r="AI133" i="2" s="1"/>
  <c r="AG134" i="2"/>
  <c r="AI134" i="2" s="1"/>
  <c r="AG135" i="2"/>
  <c r="AI135" i="2" s="1"/>
  <c r="AG136" i="2"/>
  <c r="AI136" i="2" s="1"/>
  <c r="AG137" i="2"/>
  <c r="AI137" i="2" s="1"/>
  <c r="AG138" i="2"/>
  <c r="AI138" i="2" s="1"/>
  <c r="AG139" i="2"/>
  <c r="AI139" i="2" s="1"/>
  <c r="AG140" i="2"/>
  <c r="AI140" i="2" s="1"/>
  <c r="AG141" i="2"/>
  <c r="AI141" i="2" s="1"/>
  <c r="AG142" i="2"/>
  <c r="AI142" i="2" s="1"/>
  <c r="AG143" i="2"/>
  <c r="AI143" i="2" s="1"/>
  <c r="AG144" i="2"/>
  <c r="AI144" i="2" s="1"/>
  <c r="AG145" i="2"/>
  <c r="AI145" i="2" s="1"/>
  <c r="AG146" i="2"/>
  <c r="AI146" i="2" s="1"/>
  <c r="AG147" i="2"/>
  <c r="AI147" i="2" s="1"/>
  <c r="AG148" i="2"/>
  <c r="AI148" i="2" s="1"/>
  <c r="AG149" i="2"/>
  <c r="AI149" i="2" s="1"/>
  <c r="AG150" i="2"/>
  <c r="AI150" i="2" s="1"/>
  <c r="AG151" i="2"/>
  <c r="AI151" i="2" s="1"/>
  <c r="AG152" i="2"/>
  <c r="AI152" i="2" s="1"/>
  <c r="AG153" i="2"/>
  <c r="AI153" i="2" s="1"/>
  <c r="AG154" i="2"/>
  <c r="AI154" i="2" s="1"/>
  <c r="AG155" i="2"/>
  <c r="AI155" i="2" s="1"/>
  <c r="AG156" i="2"/>
  <c r="AI156" i="2" s="1"/>
  <c r="AG157" i="2"/>
  <c r="AI157" i="2" s="1"/>
  <c r="AG158" i="2"/>
  <c r="AI158" i="2" s="1"/>
  <c r="AG159" i="2"/>
  <c r="AI159" i="2" s="1"/>
  <c r="AG160" i="2"/>
  <c r="AI160" i="2" s="1"/>
  <c r="AG161" i="2"/>
  <c r="AI161" i="2" s="1"/>
  <c r="AG162" i="2"/>
  <c r="AI162" i="2" s="1"/>
  <c r="AG163" i="2"/>
  <c r="AI163" i="2" s="1"/>
  <c r="AG164" i="2"/>
  <c r="AI164" i="2" s="1"/>
  <c r="AG165" i="2"/>
  <c r="AI165" i="2" s="1"/>
  <c r="AG166" i="2"/>
  <c r="AI166" i="2" s="1"/>
  <c r="AG167" i="2"/>
  <c r="AI167" i="2" s="1"/>
  <c r="AG168" i="2"/>
  <c r="AI168" i="2" s="1"/>
  <c r="AG169" i="2"/>
  <c r="AI169" i="2" s="1"/>
  <c r="AG170" i="2"/>
  <c r="AI170" i="2" s="1"/>
  <c r="AG171" i="2"/>
  <c r="AI171" i="2" s="1"/>
  <c r="AG172" i="2"/>
  <c r="AI172" i="2" s="1"/>
  <c r="AG173" i="2"/>
  <c r="AI173" i="2" s="1"/>
  <c r="AG174" i="2"/>
  <c r="AI174" i="2" s="1"/>
  <c r="AG175" i="2"/>
  <c r="AI175" i="2" s="1"/>
  <c r="AG176" i="2"/>
  <c r="AI176" i="2" s="1"/>
  <c r="AG177" i="2"/>
  <c r="AI177" i="2" s="1"/>
  <c r="AG178" i="2"/>
  <c r="AI178" i="2" s="1"/>
  <c r="AG179" i="2"/>
  <c r="AI179" i="2" s="1"/>
  <c r="AG180" i="2"/>
  <c r="AI180" i="2" s="1"/>
  <c r="AG181" i="2"/>
  <c r="AI181" i="2" s="1"/>
  <c r="AG182" i="2"/>
  <c r="AI182" i="2" s="1"/>
  <c r="AG183" i="2"/>
  <c r="AI183" i="2" s="1"/>
  <c r="AG184" i="2"/>
  <c r="AI184" i="2" s="1"/>
  <c r="AG185" i="2"/>
  <c r="AI185" i="2" s="1"/>
  <c r="AG186" i="2"/>
  <c r="AI186" i="2" s="1"/>
  <c r="AG187" i="2"/>
  <c r="AI187" i="2" s="1"/>
  <c r="AG188" i="2"/>
  <c r="AI188" i="2" s="1"/>
  <c r="AG189" i="2"/>
  <c r="AI189" i="2" s="1"/>
  <c r="AG190" i="2"/>
  <c r="AI190" i="2" s="1"/>
  <c r="AG191" i="2"/>
  <c r="AI191" i="2" s="1"/>
  <c r="AG192" i="2"/>
  <c r="AI192" i="2" s="1"/>
  <c r="AG193" i="2"/>
  <c r="AI193" i="2" s="1"/>
  <c r="AG194" i="2"/>
  <c r="AI194" i="2" s="1"/>
  <c r="AG195" i="2"/>
  <c r="AI195" i="2" s="1"/>
  <c r="AG196" i="2"/>
  <c r="AI196" i="2" s="1"/>
  <c r="AG197" i="2"/>
  <c r="AI197" i="2" s="1"/>
  <c r="AG198" i="2"/>
  <c r="AI198" i="2" s="1"/>
  <c r="AG199" i="2"/>
  <c r="AI199" i="2" s="1"/>
  <c r="AG200" i="2"/>
  <c r="AI200" i="2" s="1"/>
  <c r="AG201" i="2"/>
  <c r="AI201" i="2" s="1"/>
  <c r="AG202" i="2"/>
  <c r="AI202" i="2" s="1"/>
  <c r="AG203" i="2"/>
  <c r="AI203" i="2" s="1"/>
  <c r="AG204" i="2"/>
  <c r="AI204" i="2" s="1"/>
  <c r="AG205" i="2"/>
  <c r="AI205" i="2" s="1"/>
  <c r="AG206" i="2"/>
  <c r="AI206" i="2" s="1"/>
  <c r="AG207" i="2"/>
  <c r="AI207" i="2" s="1"/>
  <c r="AG208" i="2"/>
  <c r="AI208" i="2" s="1"/>
  <c r="AG209" i="2"/>
  <c r="AI209" i="2" s="1"/>
  <c r="AG210" i="2"/>
  <c r="AI210" i="2" s="1"/>
  <c r="AG211" i="2"/>
  <c r="AI211" i="2" s="1"/>
  <c r="AG212" i="2"/>
  <c r="AI212" i="2" s="1"/>
  <c r="AG213" i="2"/>
  <c r="AI213" i="2" s="1"/>
  <c r="AG214" i="2"/>
  <c r="AI214" i="2" s="1"/>
  <c r="AG215" i="2"/>
  <c r="AI215" i="2" s="1"/>
  <c r="AG216" i="2"/>
  <c r="AI216" i="2" s="1"/>
  <c r="AG217" i="2"/>
  <c r="AI217" i="2" s="1"/>
  <c r="AG218" i="2"/>
  <c r="AI218" i="2" s="1"/>
  <c r="AG219" i="2"/>
  <c r="AI219" i="2" s="1"/>
  <c r="AG220" i="2"/>
  <c r="AI220" i="2" s="1"/>
  <c r="AG221" i="2"/>
  <c r="AI221" i="2" s="1"/>
  <c r="AG222" i="2"/>
  <c r="AI222" i="2" s="1"/>
  <c r="AG223" i="2"/>
  <c r="AI223" i="2" s="1"/>
  <c r="AG224" i="2"/>
  <c r="AI224" i="2" s="1"/>
  <c r="AG225" i="2"/>
  <c r="AI225" i="2" s="1"/>
  <c r="AG226" i="2"/>
  <c r="AI226" i="2" s="1"/>
  <c r="AG227" i="2"/>
  <c r="AI227" i="2" s="1"/>
  <c r="AG228" i="2"/>
  <c r="AI228" i="2" s="1"/>
  <c r="AG229" i="2"/>
  <c r="AI229" i="2" s="1"/>
  <c r="AG230" i="2"/>
  <c r="AI230" i="2" s="1"/>
  <c r="AG231" i="2"/>
  <c r="AI231" i="2" s="1"/>
  <c r="AG232" i="2"/>
  <c r="AI232" i="2" s="1"/>
  <c r="AG233" i="2"/>
  <c r="AI233" i="2" s="1"/>
  <c r="AG234" i="2"/>
  <c r="AI234" i="2" s="1"/>
  <c r="AG235" i="2"/>
  <c r="AI235" i="2" s="1"/>
  <c r="AG236" i="2"/>
  <c r="AI236" i="2" s="1"/>
  <c r="AG237" i="2"/>
  <c r="AI237" i="2" s="1"/>
  <c r="AG238" i="2"/>
  <c r="AI238" i="2" s="1"/>
  <c r="AG239" i="2"/>
  <c r="AI239" i="2" s="1"/>
  <c r="AG240" i="2"/>
  <c r="AI240" i="2" s="1"/>
  <c r="AG241" i="2"/>
  <c r="AI241" i="2" s="1"/>
  <c r="AG242" i="2"/>
  <c r="AI242" i="2" s="1"/>
  <c r="AG243" i="2"/>
  <c r="AI243" i="2" s="1"/>
  <c r="AG244" i="2"/>
  <c r="AI244" i="2" s="1"/>
  <c r="AG245" i="2"/>
  <c r="AI245" i="2" s="1"/>
  <c r="AG246" i="2"/>
  <c r="AI246" i="2" s="1"/>
  <c r="AG247" i="2"/>
  <c r="AI247" i="2" s="1"/>
  <c r="AG248" i="2"/>
  <c r="AI248" i="2" s="1"/>
  <c r="AG249" i="2"/>
  <c r="AI249" i="2" s="1"/>
  <c r="AG250" i="2"/>
  <c r="AI250" i="2" s="1"/>
  <c r="AG251" i="2"/>
  <c r="AI251" i="2" s="1"/>
  <c r="AG252" i="2"/>
  <c r="AI252" i="2" s="1"/>
  <c r="AG253" i="2"/>
  <c r="AI253" i="2" s="1"/>
  <c r="AG254" i="2"/>
  <c r="AI254" i="2" s="1"/>
  <c r="AG255" i="2"/>
  <c r="AI255" i="2" s="1"/>
  <c r="AG256" i="2"/>
  <c r="AI256" i="2" s="1"/>
  <c r="AG257" i="2"/>
  <c r="AI257" i="2" s="1"/>
  <c r="AG258" i="2"/>
  <c r="AI258" i="2" s="1"/>
  <c r="AG259" i="2"/>
  <c r="AI259" i="2" s="1"/>
  <c r="AG260" i="2"/>
  <c r="AI260" i="2" s="1"/>
  <c r="AG261" i="2"/>
  <c r="AI261" i="2" s="1"/>
  <c r="AG262" i="2"/>
  <c r="AI262" i="2" s="1"/>
  <c r="AG263" i="2"/>
  <c r="AI263" i="2" s="1"/>
  <c r="AG264" i="2"/>
  <c r="AI264" i="2" s="1"/>
  <c r="AG265" i="2"/>
  <c r="AI265" i="2" s="1"/>
  <c r="AG266" i="2"/>
  <c r="AI266" i="2" s="1"/>
  <c r="AG267" i="2"/>
  <c r="AI267" i="2" s="1"/>
  <c r="AG268" i="2"/>
  <c r="AI268" i="2" s="1"/>
  <c r="AG269" i="2"/>
  <c r="AI269" i="2" s="1"/>
  <c r="AG270" i="2"/>
  <c r="AI270" i="2" s="1"/>
  <c r="AG271" i="2"/>
  <c r="AI271" i="2" s="1"/>
  <c r="AG272" i="2"/>
  <c r="AI272" i="2" s="1"/>
  <c r="AG273" i="2"/>
  <c r="AI273" i="2" s="1"/>
  <c r="AG274" i="2"/>
  <c r="AI274" i="2" s="1"/>
  <c r="AG275" i="2"/>
  <c r="AI275" i="2" s="1"/>
  <c r="AG276" i="2"/>
  <c r="AI276" i="2" s="1"/>
  <c r="AG277" i="2"/>
  <c r="AI277" i="2" s="1"/>
  <c r="AG278" i="2"/>
  <c r="AI278" i="2" s="1"/>
  <c r="AG279" i="2"/>
  <c r="AI279" i="2" s="1"/>
  <c r="AG280" i="2"/>
  <c r="AI280" i="2" s="1"/>
  <c r="AG281" i="2"/>
  <c r="AI281" i="2" s="1"/>
  <c r="AG282" i="2"/>
  <c r="AI282" i="2" s="1"/>
  <c r="AG283" i="2"/>
  <c r="AI283" i="2" s="1"/>
  <c r="AG284" i="2"/>
  <c r="AI284" i="2" s="1"/>
  <c r="AG285" i="2"/>
  <c r="AI285" i="2" s="1"/>
  <c r="AG286" i="2"/>
  <c r="AI286" i="2" s="1"/>
  <c r="AG287" i="2"/>
  <c r="AI287" i="2" s="1"/>
  <c r="AG288" i="2"/>
  <c r="AI288" i="2" s="1"/>
  <c r="AG289" i="2"/>
  <c r="AI289" i="2" s="1"/>
  <c r="AG290" i="2"/>
  <c r="AI290" i="2" s="1"/>
  <c r="AG291" i="2"/>
  <c r="AI291" i="2" s="1"/>
  <c r="AG292" i="2"/>
  <c r="AI292" i="2" s="1"/>
  <c r="AG293" i="2"/>
  <c r="AI293" i="2" s="1"/>
  <c r="AG294" i="2"/>
  <c r="AI294" i="2" s="1"/>
  <c r="AG295" i="2"/>
  <c r="AI295" i="2" s="1"/>
  <c r="AG296" i="2"/>
  <c r="AI296" i="2" s="1"/>
  <c r="AG297" i="2"/>
  <c r="AI297" i="2" s="1"/>
  <c r="AG298" i="2"/>
  <c r="AI298" i="2" s="1"/>
  <c r="AG299" i="2"/>
  <c r="AI299" i="2" s="1"/>
  <c r="AG300" i="2"/>
  <c r="AI300" i="2" s="1"/>
  <c r="AG301" i="2"/>
  <c r="AI301" i="2" s="1"/>
  <c r="AG302" i="2"/>
  <c r="AI302" i="2" s="1"/>
  <c r="AG303" i="2"/>
  <c r="AI303" i="2" s="1"/>
  <c r="AG304" i="2"/>
  <c r="AI304" i="2" s="1"/>
  <c r="AG305" i="2"/>
  <c r="AI305" i="2" s="1"/>
  <c r="AG306" i="2"/>
  <c r="AI306" i="2" s="1"/>
  <c r="AG307" i="2"/>
  <c r="AI307" i="2" s="1"/>
  <c r="AG308" i="2"/>
  <c r="AI308" i="2" s="1"/>
  <c r="AG309" i="2"/>
  <c r="AI309" i="2" s="1"/>
  <c r="AG310" i="2"/>
  <c r="AI310" i="2" s="1"/>
  <c r="AG311" i="2"/>
  <c r="AI311" i="2" s="1"/>
  <c r="AG312" i="2"/>
  <c r="AI312" i="2" s="1"/>
  <c r="AG313" i="2"/>
  <c r="AI313" i="2" s="1"/>
  <c r="AG314" i="2"/>
  <c r="AI314" i="2" s="1"/>
  <c r="AG315" i="2"/>
  <c r="AI315" i="2" s="1"/>
  <c r="AG316" i="2"/>
  <c r="AI316" i="2" s="1"/>
  <c r="AG317" i="2"/>
  <c r="AI317" i="2" s="1"/>
  <c r="AG318" i="2"/>
  <c r="AI318" i="2" s="1"/>
  <c r="AG319" i="2"/>
  <c r="AI319" i="2" s="1"/>
  <c r="AG320" i="2"/>
  <c r="AI320" i="2" s="1"/>
  <c r="AG321" i="2"/>
  <c r="AI321" i="2" s="1"/>
  <c r="AG322" i="2"/>
  <c r="AI322" i="2" s="1"/>
  <c r="AG323" i="2"/>
  <c r="AI323" i="2" s="1"/>
  <c r="AG324" i="2"/>
  <c r="AI324" i="2" s="1"/>
  <c r="AG325" i="2"/>
  <c r="AI325" i="2" s="1"/>
  <c r="AG326" i="2"/>
  <c r="AI326" i="2" s="1"/>
  <c r="AG327" i="2"/>
  <c r="AI327" i="2" s="1"/>
  <c r="AG328" i="2"/>
  <c r="AI328" i="2" s="1"/>
  <c r="AG329" i="2"/>
  <c r="AI329" i="2" s="1"/>
  <c r="AG330" i="2"/>
  <c r="AI330" i="2" s="1"/>
  <c r="AG331" i="2"/>
  <c r="AI331" i="2" s="1"/>
  <c r="AG332" i="2"/>
  <c r="AI332" i="2" s="1"/>
  <c r="AG333" i="2"/>
  <c r="AI333" i="2" s="1"/>
  <c r="AG334" i="2"/>
  <c r="AI334" i="2" s="1"/>
  <c r="AG335" i="2"/>
  <c r="AI335" i="2" s="1"/>
  <c r="AG336" i="2"/>
  <c r="AI336" i="2" s="1"/>
  <c r="AG337" i="2"/>
  <c r="AI337" i="2" s="1"/>
  <c r="AG338" i="2"/>
  <c r="AI338" i="2" s="1"/>
  <c r="AG339" i="2"/>
  <c r="AI339" i="2" s="1"/>
  <c r="AG340" i="2"/>
  <c r="AI340" i="2" s="1"/>
  <c r="AG341" i="2"/>
  <c r="AI341" i="2" s="1"/>
  <c r="AG342" i="2"/>
  <c r="AI342" i="2" s="1"/>
  <c r="AG343" i="2"/>
  <c r="AI343" i="2" s="1"/>
  <c r="AG344" i="2"/>
  <c r="AI344" i="2" s="1"/>
  <c r="AG345" i="2"/>
  <c r="AI345" i="2" s="1"/>
  <c r="AG346" i="2"/>
  <c r="AI346" i="2" s="1"/>
  <c r="AG347" i="2"/>
  <c r="AI347" i="2" s="1"/>
  <c r="AG2" i="2"/>
  <c r="AI2" i="2" s="1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2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2" i="2"/>
  <c r="AC347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21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2" i="2"/>
  <c r="AC23" i="2"/>
  <c r="AC2" i="2"/>
  <c r="AB312" i="2"/>
  <c r="AB2" i="2"/>
  <c r="AB342" i="2"/>
  <c r="AB343" i="2"/>
  <c r="AB344" i="2"/>
  <c r="AB345" i="2"/>
  <c r="AB346" i="2"/>
  <c r="AB347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" i="2"/>
  <c r="AB4" i="2"/>
  <c r="AB5" i="2"/>
  <c r="AA5" i="2"/>
  <c r="AA4" i="2"/>
  <c r="AA3" i="2"/>
  <c r="AA2" i="2"/>
  <c r="B3" i="14" l="1"/>
  <c r="B2" i="14"/>
  <c r="D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FA418-40A8-46DA-A1E6-934509E6E1DF}" keepAlive="1" name="Query - urbanthreads_q4" description="Connection to the 'urbanthreads_q4' query in the workbook." type="5" refreshedVersion="8" background="1" saveData="1">
    <dbPr connection="Provider=Microsoft.Mashup.OleDb.1;Data Source=$Workbook$;Location=urbanthreads_q4;Extended Properties=&quot;&quot;" command="SELECT * FROM [urbanthreads_q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<sst xmlns="http://schemas.openxmlformats.org/spreadsheetml/2006/main" count="5883" uniqueCount="1618">
  <si>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</si>
  <si>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</si>
  <si>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</si>
  <si>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</si>
  <si>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</si>
  <si>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</si>
  <si>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</si>
  <si>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</si>
  <si>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</si>
  <si>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</si>
  <si>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</si>
  <si>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</si>
  <si>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</si>
  <si>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</si>
  <si>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</si>
  <si>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</si>
  <si>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</si>
  <si>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</si>
  <si>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</si>
  <si>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</si>
  <si>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</si>
  <si>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</si>
  <si>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</si>
  <si>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</si>
  <si>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</si>
  <si>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</si>
  <si>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</si>
  <si>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</si>
  <si>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</si>
  <si>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/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</si>
  <si>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</si>
  <si>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</si>
  <si>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</si>
  <si>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</si>
  <si>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</si>
  <si>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</si>
  <si>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</si>
  <si>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</si>
  <si>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</si>
  <si>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</si>
  <si>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</si>
  <si>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</si>
  <si>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</si>
  <si>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</si>
  <si>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</si>
  <si>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</si>
  <si>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</si>
  <si>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</si>
  <si>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</si>
  <si>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</si>
  <si>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</si>
  <si>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</si>
  <si>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</si>
  <si>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</si>
  <si>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</si>
  <si>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</si>
  <si>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</si>
  <si>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</si>
  <si>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</si>
  <si>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</si>
  <si>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</si>
  <si>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</si>
  <si>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</si>
  <si>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</si>
  <si>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</si>
  <si>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</si>
  <si>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</si>
  <si>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</si>
  <si>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</si>
  <si>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</si>
  <si>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</si>
  <si>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</si>
  <si>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</si>
  <si>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</si>
  <si>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</si>
  <si>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</si>
  <si>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</si>
  <si>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</si>
  <si>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</si>
  <si>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</si>
  <si>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</si>
  <si>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</si>
  <si>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</si>
  <si>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</si>
  <si>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</si>
  <si>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</si>
  <si>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</si>
  <si>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</si>
  <si>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</si>
  <si>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</si>
  <si>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</si>
  <si>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</si>
  <si>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</si>
  <si>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</si>
  <si>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</si>
  <si>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</si>
  <si>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</si>
  <si>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</si>
  <si>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</si>
  <si>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</si>
  <si>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</si>
  <si>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</si>
  <si>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</si>
  <si>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</si>
  <si>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</si>
  <si>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</si>
  <si>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</si>
  <si>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</si>
  <si>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</si>
  <si>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</si>
  <si>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</si>
  <si>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</si>
  <si>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</si>
  <si>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</si>
  <si>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</si>
  <si>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</si>
  <si>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</si>
  <si>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</si>
  <si>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</si>
  <si>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</si>
  <si>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</si>
  <si>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</si>
  <si>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</si>
  <si>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</si>
  <si>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</si>
  <si>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</si>
  <si>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</si>
  <si>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</si>
  <si>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</si>
  <si>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</si>
  <si>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</si>
  <si>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</si>
  <si>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</si>
  <si>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</si>
  <si>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</si>
  <si>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</si>
  <si>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</si>
  <si>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</si>
  <si>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</si>
  <si>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</si>
  <si>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</si>
  <si>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</si>
  <si>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</si>
  <si>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</si>
  <si>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</si>
  <si>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</si>
  <si>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</si>
  <si>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</si>
  <si>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</si>
  <si>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</si>
  <si>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</si>
  <si>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</si>
  <si>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</si>
  <si>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</si>
  <si>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</si>
  <si>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</si>
  <si>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</si>
  <si>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</si>
  <si>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</si>
  <si>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</si>
  <si>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</si>
  <si>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</si>
  <si>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</si>
  <si>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</si>
  <si>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</si>
  <si>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</si>
  <si>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</si>
  <si>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</si>
  <si>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</si>
  <si>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</si>
  <si>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</si>
  <si>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</si>
  <si>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</si>
  <si>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</si>
  <si>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</si>
  <si>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</si>
  <si>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</si>
  <si>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</si>
  <si>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</si>
  <si>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</si>
  <si>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</si>
  <si>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</si>
  <si>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</si>
  <si>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</si>
  <si>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</si>
  <si>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</si>
  <si>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</si>
  <si>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</si>
  <si>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</si>
  <si>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</si>
  <si>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</si>
  <si>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</si>
  <si>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</si>
  <si>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</si>
  <si>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</si>
  <si>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</si>
  <si>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</si>
  <si>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</si>
  <si>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</si>
  <si>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</si>
  <si>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</si>
  <si>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</si>
  <si>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</si>
  <si>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</si>
  <si>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</si>
  <si>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</si>
  <si>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</si>
  <si>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</si>
  <si>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</si>
  <si>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</si>
  <si>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</si>
  <si>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</si>
  <si>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</si>
  <si>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</si>
  <si>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</si>
  <si>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</si>
  <si>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</si>
  <si>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</si>
  <si>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</si>
  <si>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</si>
  <si>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</si>
  <si>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</si>
  <si>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</si>
  <si>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</si>
  <si>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</si>
  <si>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</si>
  <si>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</si>
  <si>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</si>
  <si>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</si>
  <si>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</si>
  <si>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</si>
  <si>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</si>
  <si>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</si>
  <si>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</si>
  <si>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</si>
  <si>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</si>
  <si>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</si>
  <si>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</si>
  <si>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</si>
  <si>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</si>
  <si>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</si>
  <si>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</si>
  <si>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</si>
  <si>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</si>
  <si>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</si>
  <si>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</si>
  <si>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</si>
  <si>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</si>
  <si>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</si>
  <si>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</si>
  <si>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</si>
  <si>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</si>
  <si>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</si>
  <si>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</si>
  <si>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</si>
  <si>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</si>
  <si>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</si>
  <si>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</si>
  <si>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</si>
  <si>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</si>
  <si>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</si>
  <si>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</si>
  <si>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</si>
  <si>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</si>
  <si>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</si>
  <si>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</si>
  <si>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</si>
  <si>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</si>
  <si>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</si>
  <si>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</si>
  <si>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</si>
  <si>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</si>
  <si>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</si>
  <si>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</si>
  <si>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</si>
  <si>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</si>
  <si>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</si>
  <si>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</si>
  <si>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</si>
  <si>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</si>
  <si>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</si>
  <si>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</si>
  <si>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</si>
  <si>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</si>
  <si>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</si>
  <si>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</si>
  <si>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</si>
  <si>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</si>
  <si>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</si>
  <si>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</si>
  <si>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</si>
  <si>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</si>
  <si>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</si>
  <si>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</si>
  <si>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</si>
  <si>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</si>
  <si>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</si>
  <si>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</si>
  <si>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</si>
  <si>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</si>
  <si>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</si>
  <si>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</si>
  <si>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</si>
  <si>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</si>
  <si>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</si>
  <si>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</si>
  <si>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</si>
  <si>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</si>
  <si>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</si>
  <si>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</si>
  <si>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</si>
  <si>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</si>
  <si>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</si>
  <si>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</si>
  <si>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</si>
  <si>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</si>
  <si>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</si>
  <si>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</si>
  <si>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</si>
  <si>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</si>
  <si>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</si>
  <si>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</si>
  <si>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</si>
  <si>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</si>
  <si>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</si>
  <si>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</si>
  <si>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</si>
  <si>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</si>
  <si>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</si>
  <si>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</si>
  <si>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</si>
  <si>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</si>
  <si>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</si>
  <si>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</si>
  <si>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</si>
  <si>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</si>
  <si>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</si>
  <si>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</si>
  <si>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</si>
  <si>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</si>
  <si>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</si>
  <si>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</si>
  <si>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</si>
  <si>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</si>
  <si>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</si>
  <si>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</si>
  <si>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</si>
  <si>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</si>
  <si>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</si>
  <si>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</si>
  <si>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</si>
  <si>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</si>
  <si>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</si>
  <si>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</si>
  <si>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</si>
  <si>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</si>
  <si>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</si>
  <si>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</si>
  <si>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</si>
  <si>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</si>
  <si>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</si>
  <si>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</si>
  <si>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</si>
  <si>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</si>
  <si>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</si>
  <si>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</si>
  <si>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</si>
  <si>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</si>
  <si>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</si>
  <si>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</si>
  <si>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</si>
  <si>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</si>
  <si>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</si>
  <si>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</si>
  <si>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</si>
  <si>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</si>
  <si>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</si>
  <si>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</si>
  <si>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</si>
  <si>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</si>
  <si>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</si>
  <si>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</si>
  <si>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</si>
  <si>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</si>
  <si>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</si>
  <si>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</si>
  <si>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</si>
  <si>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</si>
  <si>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</si>
  <si>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</si>
  <si>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</si>
  <si>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</si>
  <si>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</si>
  <si>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</si>
  <si>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</si>
  <si>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</si>
  <si>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</si>
  <si>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</si>
  <si>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</si>
  <si>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</si>
  <si>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</si>
  <si>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</si>
  <si>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</si>
  <si>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</si>
  <si>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</si>
  <si>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</si>
  <si>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</si>
  <si>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</si>
  <si>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</si>
  <si>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</si>
  <si>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</si>
  <si>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</si>
  <si>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</si>
  <si>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</si>
  <si>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</si>
  <si>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</si>
  <si>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</si>
  <si>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</si>
  <si>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</si>
  <si>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</si>
  <si>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</si>
  <si>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</si>
  <si>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</si>
  <si>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</si>
  <si>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</si>
  <si>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</si>
  <si>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</si>
  <si>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</si>
  <si>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</si>
  <si>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</si>
  <si>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</si>
  <si>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</si>
  <si>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</si>
  <si>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</si>
  <si>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</si>
  <si>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</si>
  <si>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</si>
  <si>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</si>
  <si>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</si>
  <si>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</si>
  <si>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</si>
  <si>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</si>
  <si>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</si>
  <si>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</si>
  <si>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</si>
  <si>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</si>
  <si>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</si>
  <si>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</si>
  <si>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</si>
  <si>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</si>
  <si>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</si>
  <si>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</si>
  <si>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</si>
  <si>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</si>
  <si>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</si>
  <si>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</si>
  <si>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</si>
  <si>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</si>
  <si>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</si>
  <si>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</si>
  <si>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</si>
  <si>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</si>
  <si>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</si>
  <si>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</si>
  <si>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</si>
  <si>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</si>
  <si>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</si>
  <si>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</si>
  <si>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</si>
  <si>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</si>
  <si>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</si>
  <si>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</si>
  <si>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</si>
  <si>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</si>
  <si>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</si>
  <si>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</si>
  <si>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</si>
  <si>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</si>
  <si>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</si>
  <si>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</si>
  <si>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</si>
  <si>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</si>
  <si>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</si>
  <si>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</si>
  <si>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</si>
  <si>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</si>
  <si>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</si>
  <si>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</si>
  <si>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</si>
  <si>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</si>
  <si>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</si>
  <si>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</si>
  <si>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</si>
  <si>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</si>
  <si>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</si>
  <si>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</si>
  <si>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</si>
  <si>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</si>
  <si>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</si>
  <si>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</si>
  <si>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</si>
  <si>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</si>
  <si>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</si>
  <si>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</si>
  <si>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</si>
  <si>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</si>
  <si>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</si>
  <si>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</si>
  <si>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</si>
  <si>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</si>
  <si>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</si>
  <si>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</si>
  <si>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</si>
  <si>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</si>
  <si>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</si>
  <si>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</si>
  <si>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</si>
  <si>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</si>
  <si>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</si>
  <si>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</si>
  <si>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</si>
  <si>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</si>
  <si>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</si>
  <si>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</si>
  <si>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</si>
  <si>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</si>
  <si>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</si>
  <si>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</si>
  <si>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</si>
  <si>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</si>
  <si>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</si>
  <si>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</si>
  <si>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</si>
  <si>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</si>
  <si>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</si>
  <si>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</si>
  <si>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</si>
  <si>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</si>
  <si>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</si>
  <si>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</si>
  <si>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</si>
  <si>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</si>
  <si>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</si>
  <si>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</si>
  <si>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</si>
  <si>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</si>
  <si>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</si>
  <si>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</si>
  <si>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</si>
  <si>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</si>
  <si>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</si>
  <si>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</si>
  <si>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</si>
  <si>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</si>
  <si>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</si>
  <si>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</si>
  <si>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</si>
  <si>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</si>
  <si>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</si>
  <si>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</si>
  <si>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</si>
  <si>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</si>
  <si>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</si>
  <si>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</si>
  <si>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</si>
  <si>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</si>
  <si>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</si>
  <si>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</si>
  <si>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</si>
  <si>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</si>
  <si>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</si>
  <si>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</si>
  <si>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</si>
  <si>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</si>
  <si>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</si>
  <si>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</si>
  <si>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</si>
  <si>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</si>
  <si>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</si>
  <si>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</si>
  <si>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</si>
  <si>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</si>
  <si>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</si>
  <si>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</si>
  <si>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</si>
  <si>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</si>
  <si>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</si>
  <si>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</si>
  <si>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</si>
  <si>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</si>
  <si>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</si>
  <si>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</si>
  <si>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</si>
  <si>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</si>
  <si>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</si>
  <si>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</si>
  <si>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</si>
  <si>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</si>
  <si>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</si>
  <si>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</si>
  <si>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</si>
  <si>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</si>
  <si>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</si>
  <si>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</si>
  <si>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</si>
  <si>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</si>
  <si>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</si>
  <si>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</si>
  <si>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</si>
  <si>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</si>
  <si>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</si>
  <si>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</si>
  <si>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</si>
  <si>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</si>
  <si>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</si>
  <si>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</si>
  <si>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</si>
  <si>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</si>
  <si>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</si>
  <si>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</si>
  <si>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</si>
  <si>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</si>
  <si>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</si>
  <si>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</si>
  <si>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</si>
  <si>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</si>
  <si>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</si>
  <si>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</si>
  <si>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</si>
  <si>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</si>
  <si>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</si>
  <si>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</si>
  <si>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</si>
  <si>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</si>
  <si>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</si>
  <si>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</si>
  <si>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</si>
  <si>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</si>
  <si>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</si>
  <si>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</si>
  <si>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</si>
  <si>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</si>
  <si>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</si>
  <si>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</si>
  <si>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</si>
  <si>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</si>
  <si>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</si>
  <si>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</si>
  <si>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</si>
  <si>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</si>
  <si>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</si>
  <si>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</si>
  <si>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</si>
  <si>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</si>
  <si>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</si>
  <si>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</si>
  <si>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</si>
  <si>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</si>
  <si>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</si>
  <si>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</si>
  <si>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</si>
  <si>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</si>
  <si>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</si>
  <si>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</si>
  <si>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</si>
  <si>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</si>
  <si>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</si>
  <si>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</si>
  <si>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</si>
  <si>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</si>
  <si>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</si>
  <si>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</si>
  <si>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</si>
  <si>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</si>
  <si>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</si>
  <si>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</si>
  <si>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</si>
  <si>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</si>
  <si>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</si>
  <si>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</si>
  <si>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</si>
  <si>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</si>
  <si>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</si>
  <si>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</si>
  <si>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</si>
  <si>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</si>
  <si>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</si>
  <si>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</si>
  <si>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</si>
  <si>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</si>
  <si>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</si>
  <si>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</si>
  <si>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</si>
  <si>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</si>
  <si>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</si>
  <si>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</si>
  <si>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</si>
  <si>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</si>
  <si>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</si>
  <si>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</si>
  <si>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</si>
  <si>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</si>
  <si>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</si>
  <si>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</si>
  <si>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Nov15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</si>
  <si>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</si>
  <si>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</si>
  <si>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</si>
  <si>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</si>
  <si>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</si>
  <si>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</si>
  <si>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</si>
  <si>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</si>
  <si>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</si>
  <si>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</si>
  <si>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</si>
  <si>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</si>
  <si>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</si>
  <si>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</si>
  <si>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</si>
  <si>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</si>
  <si>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</si>
  <si>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</si>
  <si>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</si>
  <si>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</si>
  <si>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</si>
  <si>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</si>
  <si>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</si>
  <si>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</si>
  <si>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</si>
  <si>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</si>
  <si>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</si>
  <si>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</si>
  <si>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</si>
  <si>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</si>
  <si>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</si>
  <si>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</si>
  <si>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</si>
  <si>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</si>
  <si>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</si>
  <si>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</si>
  <si>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</si>
  <si>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</si>
  <si>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</si>
  <si>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</si>
  <si>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</si>
  <si>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</si>
  <si>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</si>
  <si>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</si>
  <si>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</si>
  <si>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</si>
  <si>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</si>
  <si>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</si>
  <si>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</si>
  <si>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</si>
  <si>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</si>
  <si>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</si>
  <si>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</si>
  <si>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</si>
  <si>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</si>
  <si>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</si>
  <si>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</si>
  <si>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</si>
  <si>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</si>
  <si>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</si>
  <si>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</si>
  <si>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</si>
  <si>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</si>
  <si>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</si>
  <si>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</si>
  <si>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</si>
  <si>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</si>
  <si>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</si>
  <si>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</si>
  <si>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</si>
  <si>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</si>
  <si>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</si>
  <si>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</si>
  <si>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</si>
  <si>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</si>
  <si>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</si>
  <si>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</si>
  <si>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</si>
  <si>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</si>
  <si>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</si>
  <si>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</si>
  <si>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</si>
  <si>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</si>
  <si>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</si>
  <si>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</si>
  <si>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</si>
  <si>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</si>
  <si>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</si>
  <si>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</si>
  <si>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</si>
  <si>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</si>
  <si>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</si>
  <si>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</si>
  <si>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</si>
  <si>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</si>
  <si>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</si>
  <si>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</si>
  <si>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</si>
  <si>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</si>
  <si>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</si>
  <si>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</si>
  <si>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</si>
  <si>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</si>
  <si>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</si>
  <si>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</si>
  <si>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</si>
  <si>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</si>
  <si>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</si>
  <si>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</si>
  <si>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</si>
  <si>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</si>
  <si>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</si>
  <si>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</si>
  <si>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</si>
  <si>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</si>
  <si>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</si>
  <si>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</si>
  <si>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</si>
  <si>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</si>
  <si>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</si>
  <si>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</si>
  <si>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</si>
  <si>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</si>
  <si>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</si>
  <si>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</si>
  <si>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</si>
  <si>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</si>
  <si>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</si>
  <si>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</si>
  <si>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</si>
  <si>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</si>
  <si>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</si>
  <si>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</si>
  <si>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</si>
  <si>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</si>
  <si>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</si>
  <si>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</si>
  <si>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</si>
  <si>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</si>
  <si>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</si>
  <si>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</si>
  <si>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</si>
  <si>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</si>
  <si>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</si>
  <si>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</si>
  <si>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</si>
  <si>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</si>
  <si>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</si>
  <si>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</si>
  <si>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</si>
  <si>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</si>
  <si>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</si>
  <si>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</si>
  <si>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</si>
  <si>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</si>
  <si>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</si>
  <si>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</si>
  <si>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</si>
  <si>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</si>
  <si>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</si>
  <si>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</si>
  <si>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</si>
  <si>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</si>
  <si>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</si>
  <si>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</si>
  <si>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</si>
  <si>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</si>
  <si>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</si>
  <si>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</si>
  <si>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</si>
  <si>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</si>
  <si>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</si>
  <si>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</si>
  <si>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</si>
  <si>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</si>
  <si>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</si>
  <si>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</si>
  <si>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</si>
  <si>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</si>
  <si>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</si>
  <si>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</si>
  <si>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</si>
  <si>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</si>
  <si>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</si>
  <si>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</si>
  <si>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</si>
  <si>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</si>
  <si>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</si>
  <si>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</si>
  <si>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</si>
  <si>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</si>
  <si>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</si>
  <si>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</si>
  <si>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</si>
  <si>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</si>
  <si>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</si>
  <si>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</si>
  <si>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</si>
  <si>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</si>
  <si>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</si>
  <si>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</si>
  <si>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</si>
  <si>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</si>
  <si>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</si>
  <si>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</si>
  <si>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</si>
  <si>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</si>
  <si>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</si>
  <si>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</si>
  <si>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</si>
  <si>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</si>
  <si>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</si>
  <si>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</si>
  <si>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</si>
  <si>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</si>
  <si>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</si>
  <si>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</si>
  <si>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</si>
  <si>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</si>
  <si>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</si>
  <si>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</si>
  <si>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</si>
  <si>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</si>
  <si>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</si>
  <si>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</si>
  <si>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</si>
  <si>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</si>
  <si>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</si>
  <si>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</si>
  <si>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</si>
  <si>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</si>
  <si>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</si>
  <si>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</si>
  <si>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</si>
  <si>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</si>
  <si>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</si>
  <si>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</si>
  <si>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</si>
  <si>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</si>
  <si>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</si>
  <si>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</si>
  <si>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</si>
  <si>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</si>
  <si>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</si>
  <si>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</si>
  <si>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</si>
  <si>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</si>
  <si>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</si>
  <si>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</si>
  <si>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</si>
  <si>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</si>
  <si>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</si>
  <si>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</si>
  <si>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</si>
  <si>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</si>
  <si>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</si>
  <si>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</si>
  <si>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</si>
  <si>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</si>
  <si>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</si>
  <si>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</si>
  <si>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</si>
  <si>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</si>
  <si>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</si>
  <si>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</si>
  <si>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</si>
  <si>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</si>
  <si>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</si>
  <si>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</si>
  <si>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</si>
  <si>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</si>
  <si>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</si>
  <si>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</si>
  <si>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</si>
  <si>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</si>
  <si>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</si>
  <si>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</si>
  <si>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</si>
  <si>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</si>
  <si>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</si>
  <si>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</si>
  <si>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</si>
  <si>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</si>
  <si>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</si>
  <si>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</si>
  <si>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</si>
  <si>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</si>
  <si>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</si>
  <si>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</si>
  <si>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</si>
  <si>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</si>
  <si>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Dec20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</si>
  <si>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</si>
  <si>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</si>
  <si>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</si>
  <si>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</si>
  <si>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</si>
  <si>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</si>
  <si>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</si>
  <si>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</si>
  <si>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</si>
  <si>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</si>
  <si>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</si>
  <si>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</si>
  <si>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</si>
  <si>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</si>
  <si>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</si>
  <si>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</si>
  <si>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</si>
  <si>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</si>
  <si>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</si>
  <si>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</si>
  <si>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</si>
  <si>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</si>
  <si>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</si>
  <si>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</si>
  <si>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</si>
  <si>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</si>
  <si>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</si>
  <si>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</si>
  <si>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</si>
  <si>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</si>
  <si>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</si>
  <si>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</si>
  <si>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</si>
  <si>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</si>
  <si>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</si>
  <si>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</si>
  <si>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</si>
  <si>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</si>
  <si>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</si>
  <si>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</si>
  <si>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</si>
  <si>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</si>
  <si>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</si>
  <si>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</si>
  <si>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</si>
  <si>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</si>
  <si>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</si>
  <si>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</si>
  <si>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</si>
  <si>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</si>
  <si>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</si>
  <si>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</si>
  <si>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</si>
  <si>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</si>
  <si>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</si>
  <si>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</si>
  <si>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</si>
  <si>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</si>
  <si>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</si>
  <si>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</si>
  <si>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</si>
  <si>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</si>
  <si>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</si>
  <si>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</si>
  <si>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</si>
  <si>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</si>
  <si>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</si>
  <si>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</si>
  <si>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</si>
  <si>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</si>
  <si>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</si>
  <si>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</si>
  <si>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</si>
  <si>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</si>
  <si>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</si>
  <si>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</si>
  <si>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</si>
  <si>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</si>
  <si>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</si>
  <si>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</si>
  <si>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</si>
  <si>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</si>
  <si>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</si>
  <si>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</si>
  <si>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</si>
  <si>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</si>
  <si>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</si>
  <si>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</si>
  <si>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</si>
  <si>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</si>
  <si>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</si>
  <si>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</si>
  <si>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</si>
  <si>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</si>
  <si>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</si>
  <si>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</si>
  <si>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</si>
  <si>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</si>
  <si>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</si>
  <si>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</si>
  <si>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</si>
  <si>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</si>
  <si>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</si>
  <si>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</si>
  <si>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</si>
  <si>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</si>
  <si>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</si>
  <si>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</si>
  <si>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</si>
  <si>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</si>
  <si>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</si>
  <si>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</si>
  <si>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</si>
  <si>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</si>
  <si>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</si>
  <si>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</si>
  <si>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</si>
  <si>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</si>
  <si>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</si>
  <si>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</si>
  <si>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</si>
  <si>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</si>
  <si>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</si>
  <si>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</si>
  <si>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</si>
  <si>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</si>
  <si>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</si>
  <si>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</si>
  <si>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</si>
  <si>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</si>
  <si>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</si>
  <si>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</si>
  <si>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</si>
  <si>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</si>
  <si>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</si>
  <si>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</si>
  <si>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</si>
  <si>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</si>
  <si>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</si>
  <si>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</si>
  <si>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</si>
  <si>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</si>
  <si>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</si>
  <si>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</si>
  <si>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</si>
  <si>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</si>
  <si>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</si>
  <si>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</si>
  <si>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</si>
  <si>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</si>
  <si>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</si>
  <si>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</si>
  <si>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</si>
  <si>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</si>
  <si>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</si>
  <si>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</si>
  <si>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</si>
  <si>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</si>
  <si>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</si>
  <si>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</si>
  <si>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</si>
  <si>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</si>
  <si>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</si>
  <si>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</si>
  <si>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</si>
  <si>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</si>
  <si>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</si>
  <si>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</si>
  <si>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</si>
  <si>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</si>
  <si>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</si>
  <si>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</si>
  <si>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</si>
  <si>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</si>
  <si>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</si>
  <si>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</si>
  <si>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</si>
  <si>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</si>
  <si>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</si>
  <si>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</si>
  <si>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</si>
  <si>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</si>
  <si>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</si>
  <si>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</si>
  <si>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</si>
  <si>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</si>
  <si>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</si>
  <si>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</si>
  <si>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</si>
  <si>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</si>
  <si>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</si>
  <si>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</si>
  <si>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</si>
  <si>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</si>
  <si>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</si>
  <si>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</si>
  <si>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</si>
  <si>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</si>
  <si>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</si>
  <si>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</si>
  <si>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</si>
  <si>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</si>
  <si>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</si>
  <si>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</si>
  <si>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</si>
  <si>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</si>
  <si>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</si>
  <si>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</si>
  <si>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</si>
  <si>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</si>
  <si>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</si>
  <si>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</si>
  <si>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</si>
  <si>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</si>
  <si>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</si>
  <si>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</si>
  <si>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</si>
  <si>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</si>
  <si>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</si>
  <si>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</si>
  <si>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</si>
  <si>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</si>
  <si>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</si>
  <si>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</si>
  <si>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</si>
  <si>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</si>
  <si>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</si>
  <si>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</si>
  <si>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</si>
  <si>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</si>
  <si>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</si>
  <si>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</si>
  <si>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</si>
  <si>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</si>
  <si>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</si>
  <si>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</si>
  <si>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</si>
  <si>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</si>
  <si>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</si>
  <si>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</si>
  <si>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</si>
  <si>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</si>
  <si>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</si>
  <si>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</si>
  <si>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</si>
  <si>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</si>
  <si>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</si>
  <si>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</si>
  <si>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</si>
  <si>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</si>
  <si>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</si>
  <si>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</si>
  <si>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</si>
  <si>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</si>
  <si>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</si>
  <si>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</si>
  <si>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</si>
  <si>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</si>
  <si>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</si>
  <si>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</si>
  <si>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</si>
  <si>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</si>
  <si>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</si>
  <si>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</si>
  <si>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</si>
  <si>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</si>
  <si>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</si>
  <si>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</si>
  <si>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</si>
  <si>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</si>
  <si>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</si>
  <si>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</si>
  <si>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</si>
  <si>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</si>
  <si>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</si>
  <si>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</si>
  <si>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</si>
  <si>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</si>
  <si>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</si>
  <si>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</si>
  <si>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</si>
  <si>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</si>
  <si>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</si>
  <si>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</si>
  <si>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</si>
  <si>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</si>
  <si>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</si>
  <si>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</si>
  <si>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</si>
  <si>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</si>
  <si>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</si>
  <si>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</si>
  <si>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</si>
  <si>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</si>
  <si>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</si>
  <si>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</si>
  <si>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</si>
  <si>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</si>
  <si>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</si>
  <si>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</si>
  <si>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</si>
  <si>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</si>
  <si>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</si>
  <si>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</si>
  <si>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</si>
  <si>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</si>
  <si>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</si>
  <si>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</si>
  <si>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</si>
  <si>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</si>
  <si>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</si>
  <si>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</si>
  <si>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</si>
  <si>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</si>
  <si>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</si>
  <si>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</si>
  <si>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</si>
  <si>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</si>
  <si>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</si>
  <si>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</si>
  <si>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</si>
  <si>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</si>
  <si>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</si>
  <si>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</si>
  <si>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</si>
  <si>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</si>
  <si>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</si>
  <si>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</si>
  <si>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</si>
  <si>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</si>
  <si>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</si>
  <si>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</si>
  <si>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</si>
  <si>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</si>
  <si>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</si>
  <si>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</si>
  <si>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</si>
  <si>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</si>
  <si>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</si>
  <si>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</si>
  <si>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</si>
  <si>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</si>
  <si>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</si>
  <si>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</si>
  <si>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</si>
  <si>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</si>
  <si>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</si>
  <si>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</si>
  <si>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</si>
  <si>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</si>
  <si>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</si>
  <si>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</si>
  <si>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</si>
  <si>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</si>
  <si>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</si>
  <si>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</si>
  <si>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</si>
  <si>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</si>
  <si>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</si>
  <si>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</si>
  <si>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</si>
  <si>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</si>
  <si>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</si>
  <si>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</si>
  <si>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</si>
  <si>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</si>
  <si>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</si>
  <si>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</si>
  <si>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</si>
  <si>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</si>
  <si>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</si>
  <si>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</si>
  <si>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</si>
  <si>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</si>
  <si>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</si>
  <si>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</si>
  <si>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</si>
  <si>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</si>
  <si>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</si>
  <si>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</si>
  <si>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</si>
  <si>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</si>
  <si>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</si>
  <si>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</si>
  <si>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</si>
  <si>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</si>
  <si>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</si>
  <si>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</si>
  <si>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</si>
  <si>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</si>
  <si>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</si>
  <si>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</si>
  <si>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</si>
  <si>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</si>
  <si>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</si>
  <si>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</si>
  <si>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</si>
  <si>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</si>
  <si>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</si>
  <si>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</si>
  <si>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</si>
  <si>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</si>
  <si>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</si>
  <si>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</si>
  <si>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</si>
  <si>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</si>
  <si>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</si>
  <si>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</si>
  <si>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</si>
  <si>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</si>
  <si>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</si>
  <si>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</si>
  <si>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</si>
  <si>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</si>
  <si>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</si>
  <si>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</si>
  <si>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</si>
  <si>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</si>
  <si>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</si>
  <si>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</si>
  <si>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</si>
  <si>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</si>
  <si>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</si>
  <si>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</si>
  <si>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</si>
  <si>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</si>
  <si>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</si>
  <si>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</si>
  <si>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</si>
  <si>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</si>
  <si>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</si>
  <si>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</si>
  <si>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</si>
  <si>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</si>
  <si>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</si>
  <si>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</si>
  <si>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</si>
  <si>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</si>
  <si>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</si>
  <si>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</si>
  <si>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</si>
  <si>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</si>
  <si>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</si>
  <si>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</si>
  <si>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</si>
  <si>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</si>
  <si>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</si>
  <si>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</si>
  <si>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</si>
  <si>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</si>
  <si>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</si>
  <si>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</si>
  <si>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</si>
  <si>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</si>
  <si>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</si>
  <si>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</si>
  <si>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</si>
  <si>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</si>
  <si>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</si>
  <si>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</si>
  <si>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</si>
  <si>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</si>
  <si>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</si>
  <si>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</si>
  <si>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</si>
  <si>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</si>
  <si>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</si>
  <si>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</si>
  <si>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</si>
  <si>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</si>
  <si>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</si>
  <si>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</si>
  <si>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</si>
  <si>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</si>
  <si>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</si>
  <si>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</si>
  <si>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</si>
  <si>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</si>
  <si>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</si>
  <si>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</si>
  <si>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</si>
  <si>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</si>
  <si>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</si>
  <si>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Issue_ID</t>
  </si>
  <si>
    <t>Column_Name</t>
  </si>
  <si>
    <t>Issue_Type</t>
  </si>
  <si>
    <t>Problem_Details</t>
  </si>
  <si>
    <t>Action_Taken</t>
  </si>
  <si>
    <t>Formula_Used</t>
  </si>
  <si>
    <t>CL01</t>
  </si>
  <si>
    <t>Missing Value</t>
  </si>
  <si>
    <t>166 blanks where Return?=No</t>
  </si>
  <si>
    <t xml:space="preserve">Ignore (Excepted business case) </t>
  </si>
  <si>
    <t>COUNTBLANK(U2:U347)</t>
  </si>
  <si>
    <t>CL02</t>
  </si>
  <si>
    <t>Del Data</t>
  </si>
  <si>
    <t>18 blanks for Cancelled/ RTO/In-Transit</t>
  </si>
  <si>
    <t>Allowed</t>
  </si>
  <si>
    <t>COUNTBLANK(R2:R347)</t>
  </si>
  <si>
    <t>CL03</t>
  </si>
  <si>
    <t>CL04</t>
  </si>
  <si>
    <t>206 orders without promo</t>
  </si>
  <si>
    <t>Treated as 0 discount</t>
  </si>
  <si>
    <t>COUNTBLANK(K2:K347)</t>
  </si>
  <si>
    <t>COUNTBLANK(V2:V347)</t>
  </si>
  <si>
    <t>Ignored</t>
  </si>
  <si>
    <t>166 blanks for non-returned orders</t>
  </si>
  <si>
    <t>Duplicate_Count</t>
  </si>
  <si>
    <t>CL05</t>
  </si>
  <si>
    <t>Duplicate Check</t>
  </si>
  <si>
    <t>No duplicate order_id found in dataset</t>
  </si>
  <si>
    <t>No action required</t>
  </si>
  <si>
    <t>COUNTIF(A2:A347,A2)</t>
  </si>
  <si>
    <t>CL06</t>
  </si>
  <si>
    <t>Delivery Date</t>
  </si>
  <si>
    <t>Format Check</t>
  </si>
  <si>
    <t>Dates stored correctly as Excel date values</t>
  </si>
  <si>
    <t>Checked via Number Format</t>
  </si>
  <si>
    <t>CL07</t>
  </si>
  <si>
    <t>No extra spaces found(LEN/TRIM = 0 for all rows</t>
  </si>
  <si>
    <t>LEN(S2)-LEN(TRIM(S2)</t>
  </si>
  <si>
    <t xml:space="preserve"> </t>
  </si>
  <si>
    <t>CL08</t>
  </si>
  <si>
    <t>LEN(E2)-LEN(SUBSTITUTE(E2,"-'"")</t>
  </si>
  <si>
    <t>All values follow CAT-STYLE-SIZE pattern</t>
  </si>
  <si>
    <t>CL09</t>
  </si>
  <si>
    <t>CL10</t>
  </si>
  <si>
    <t>CL11</t>
  </si>
  <si>
    <t>CL12</t>
  </si>
  <si>
    <t>Quantity</t>
  </si>
  <si>
    <t>Outlier Check</t>
  </si>
  <si>
    <t>No unusually high quantities found(&gt;10)</t>
  </si>
  <si>
    <t>IF(I2&gt;10,"FLAG","OK")</t>
  </si>
  <si>
    <t>IF(OR(H2&lt;=0,H2&gt;10000),"FLAG","OK")</t>
  </si>
  <si>
    <t>IF(OR(L2&lt;0,L2&gt;100),"FLAG","OK")</t>
  </si>
  <si>
    <t>All values within 0–100</t>
  </si>
  <si>
    <t>No zero/negative or extreme prices found</t>
  </si>
  <si>
    <t xml:space="preserve">Unit Price </t>
  </si>
  <si>
    <t>Discount %</t>
  </si>
  <si>
    <t>CL13</t>
  </si>
  <si>
    <t>delivery_date</t>
  </si>
  <si>
    <t>Logical Issue</t>
  </si>
  <si>
    <t>18 rows where deliver_date&lt;order_date</t>
  </si>
  <si>
    <t>Flagged investigation excluded from time - based metrics</t>
  </si>
  <si>
    <t>IF(R2&lt;B2,"ERROR","OK"</t>
  </si>
  <si>
    <t>delivery_status + delivery_date</t>
  </si>
  <si>
    <t>18 Cancelled orders still have delivery_date</t>
  </si>
  <si>
    <t>IF(AND(S2="Cancelled",R2&lt;&gt;""),"ERROR","OK")</t>
  </si>
  <si>
    <t>Treated as data entry error; Delivery_date excluded from delivery-time analysis</t>
  </si>
  <si>
    <t>Rule_ID</t>
  </si>
  <si>
    <t>Validation_Rule</t>
  </si>
  <si>
    <t>Formula</t>
  </si>
  <si>
    <t>Error_Count</t>
  </si>
  <si>
    <t>V1</t>
  </si>
  <si>
    <t>order_id format UT-100001</t>
  </si>
  <si>
    <t>V2</t>
  </si>
  <si>
    <t>customer_type only New or Returning</t>
  </si>
  <si>
    <t>V3</t>
  </si>
  <si>
    <t>quantity positive integer</t>
  </si>
  <si>
    <t>CL14</t>
  </si>
  <si>
    <t>Validation</t>
  </si>
  <si>
    <t>Row 11 has quantity = -1 (invalid)</t>
  </si>
  <si>
    <t>Flagged; excluded from quantity KPIs</t>
  </si>
  <si>
    <t>IF(AND(I2&gt;0,MOD(I2,1)=0),"OK","ERROR")</t>
  </si>
  <si>
    <t>V4</t>
  </si>
  <si>
    <t>discount_percent between 0 and 100</t>
  </si>
  <si>
    <t>V5</t>
  </si>
  <si>
    <t>order_date within Q4 2024</t>
  </si>
  <si>
    <t>CL15</t>
  </si>
  <si>
    <t>UT-100003 has order_date = 10-01-2024 (outside Q4)</t>
  </si>
  <si>
    <t>Excluded from Q4 metrics</t>
  </si>
  <si>
    <t>V6</t>
  </si>
  <si>
    <t>payment_method allowed values</t>
  </si>
  <si>
    <t>V7</t>
  </si>
  <si>
    <t>V8</t>
  </si>
  <si>
    <t>V9</t>
  </si>
  <si>
    <t>V10</t>
  </si>
  <si>
    <t>delivery_status allowed values</t>
  </si>
  <si>
    <t>return_initiated No → return_reason blank</t>
  </si>
  <si>
    <t>warehouse_origin allowed values  Mumbai/Delhi/Bangalore</t>
  </si>
  <si>
    <t>refund_status must be Not Applicable when return_initiated = No</t>
  </si>
  <si>
    <t>Metric</t>
  </si>
  <si>
    <t>Value</t>
  </si>
  <si>
    <t>Total Orders</t>
  </si>
  <si>
    <t>Total Revenue(after Discount)</t>
  </si>
  <si>
    <t>Avarage Order Value</t>
  </si>
  <si>
    <t>Overall Return Rate</t>
  </si>
  <si>
    <t>Total Units Sold</t>
  </si>
  <si>
    <t>Month</t>
  </si>
  <si>
    <t>Orders</t>
  </si>
  <si>
    <t>Row Labels</t>
  </si>
  <si>
    <t>Grand Total</t>
  </si>
  <si>
    <t>Count of Order ID</t>
  </si>
  <si>
    <t>10-01-2024 - 16-01-2024</t>
  </si>
  <si>
    <t>25-09-2024 - 01-10-2024</t>
  </si>
  <si>
    <t>02-10-2024 - 08-10-2024</t>
  </si>
  <si>
    <t>09-10-2024 - 15-10-2024</t>
  </si>
  <si>
    <t>16-10-2024 - 22-10-2024</t>
  </si>
  <si>
    <t>23-10-2024 - 29-10-2024</t>
  </si>
  <si>
    <t>30-10-2024 - 05-11-2024</t>
  </si>
  <si>
    <t>06-11-2024 - 12-11-2024</t>
  </si>
  <si>
    <t>13-11-2024 - 19-11-2024</t>
  </si>
  <si>
    <t>20-11-2024 - 26-11-2024</t>
  </si>
  <si>
    <t>27-11-2024 - 03-12-2024</t>
  </si>
  <si>
    <t>04-12-2024 - 10-12-2024</t>
  </si>
  <si>
    <t>11-12-2024 - 17-12-2024</t>
  </si>
  <si>
    <t>18-12-2024 - 24-12-2024</t>
  </si>
  <si>
    <t>25-12-2024 - 31-12-2024</t>
  </si>
  <si>
    <t>(All)</t>
  </si>
  <si>
    <t>Returned Orders</t>
  </si>
  <si>
    <t>Returned Revenue</t>
  </si>
  <si>
    <t>Return Rate</t>
  </si>
  <si>
    <t>Column Labels</t>
  </si>
  <si>
    <t>Weekly Orders</t>
  </si>
  <si>
    <t>Weekly Returns</t>
  </si>
  <si>
    <t>Week</t>
  </si>
  <si>
    <t>Return count</t>
  </si>
  <si>
    <t>Customer Type</t>
  </si>
  <si>
    <t>Channel</t>
  </si>
  <si>
    <t>Payment Mode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</si>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</sst>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NumberFormat="1"/>
    <xf numFmtId="10" fontId="0" fillId="0" borderId="0" xfId="0" applyNumberFormat="1"/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3" xfId="0" applyBorder="1"/>
    <xf numFmtId="0" fontId="1" fillId="2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Weekly Sales Spikes Are Followed by Higher Return Rate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Viz_1_Weekly_Returns!$D$21</c:f>
              <c:strCache>
                <c:ptCount val="1"/>
                <c:pt idx="0">
                  <c:v>Weekly Returns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Viz_1_Weekly_Returns!$B$22:$B$36</c:f>
              <c:strCache>
                <c:ptCount val="15"/>
                <c:pt idx="0">
                  <c:v>30-10-2024 - 05-11-2024</c:v>
                </c:pt>
                <c:pt idx="1">
                  <c:v>27-11-2024 - 03-12-2024</c:v>
                </c:pt>
                <c:pt idx="2">
                  <c:v>25-12-2024 - 31-12-2024</c:v>
                </c:pt>
                <c:pt idx="3">
                  <c:v>25-09-2024 - 01-10-2024</c:v>
                </c:pt>
                <c:pt idx="4">
                  <c:v>23-10-2024 - 29-10-2024</c:v>
                </c:pt>
                <c:pt idx="5">
                  <c:v>20-11-2024 - 26-11-2024</c:v>
                </c:pt>
                <c:pt idx="6">
                  <c:v>18-12-2024 - 24-12-2024</c:v>
                </c:pt>
                <c:pt idx="7">
                  <c:v>16-10-2024 - 22-10-2024</c:v>
                </c:pt>
                <c:pt idx="8">
                  <c:v>13-11-2024 - 19-11-2024</c:v>
                </c:pt>
                <c:pt idx="9">
                  <c:v>11-12-2024 - 17-12-2024</c:v>
                </c:pt>
                <c:pt idx="10">
                  <c:v>10-01-2024 - 16-01-2024</c:v>
                </c:pt>
                <c:pt idx="11">
                  <c:v>09-10-2024 - 15-10-2024</c:v>
                </c:pt>
                <c:pt idx="12">
                  <c:v>06-11-2024 - 12-11-2024</c:v>
                </c:pt>
                <c:pt idx="13">
                  <c:v>04-12-2024 - 10-12-2024</c:v>
                </c:pt>
                <c:pt idx="14">
                  <c:v>02-10-2024 - 08-10-2024</c:v>
                </c:pt>
              </c:strCache>
            </c:strRef>
          </c:cat>
          <c:val>
            <c:numRef>
              <c:f>Viz_1_Weekly_Returns!$D$22:$D$36</c:f>
              <c:numCache>
                <c:formatCode>General</c:formatCode>
                <c:ptCount val="15"/>
                <c:pt idx="0">
                  <c:v>20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17</c:v>
                </c:pt>
                <c:pt idx="5">
                  <c:v>12</c:v>
                </c:pt>
                <c:pt idx="6">
                  <c:v>17</c:v>
                </c:pt>
                <c:pt idx="7">
                  <c:v>11</c:v>
                </c:pt>
                <c:pt idx="8">
                  <c:v>11</c:v>
                </c:pt>
                <c:pt idx="9">
                  <c:v>16</c:v>
                </c:pt>
                <c:pt idx="10">
                  <c:v>1</c:v>
                </c:pt>
                <c:pt idx="11">
                  <c:v>12</c:v>
                </c:pt>
                <c:pt idx="12">
                  <c:v>13</c:v>
                </c:pt>
                <c:pt idx="13">
                  <c:v>18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4-48DC-8782-2CC0629BF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213344"/>
        <c:axId val="499206144"/>
      </c:barChart>
      <c:barChart>
        <c:barDir val="col"/>
        <c:grouping val="clustered"/>
        <c:varyColors val="0"/>
        <c:ser>
          <c:idx val="0"/>
          <c:order val="0"/>
          <c:tx>
            <c:strRef>
              <c:f>Viz_1_Weekly_Returns!$C$21</c:f>
              <c:strCache>
                <c:ptCount val="1"/>
                <c:pt idx="0">
                  <c:v>Weekly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Viz_1_Weekly_Returns!$B$22:$B$36</c:f>
              <c:strCache>
                <c:ptCount val="15"/>
                <c:pt idx="0">
                  <c:v>30-10-2024 - 05-11-2024</c:v>
                </c:pt>
                <c:pt idx="1">
                  <c:v>27-11-2024 - 03-12-2024</c:v>
                </c:pt>
                <c:pt idx="2">
                  <c:v>25-12-2024 - 31-12-2024</c:v>
                </c:pt>
                <c:pt idx="3">
                  <c:v>25-09-2024 - 01-10-2024</c:v>
                </c:pt>
                <c:pt idx="4">
                  <c:v>23-10-2024 - 29-10-2024</c:v>
                </c:pt>
                <c:pt idx="5">
                  <c:v>20-11-2024 - 26-11-2024</c:v>
                </c:pt>
                <c:pt idx="6">
                  <c:v>18-12-2024 - 24-12-2024</c:v>
                </c:pt>
                <c:pt idx="7">
                  <c:v>16-10-2024 - 22-10-2024</c:v>
                </c:pt>
                <c:pt idx="8">
                  <c:v>13-11-2024 - 19-11-2024</c:v>
                </c:pt>
                <c:pt idx="9">
                  <c:v>11-12-2024 - 17-12-2024</c:v>
                </c:pt>
                <c:pt idx="10">
                  <c:v>10-01-2024 - 16-01-2024</c:v>
                </c:pt>
                <c:pt idx="11">
                  <c:v>09-10-2024 - 15-10-2024</c:v>
                </c:pt>
                <c:pt idx="12">
                  <c:v>06-11-2024 - 12-11-2024</c:v>
                </c:pt>
                <c:pt idx="13">
                  <c:v>04-12-2024 - 10-12-2024</c:v>
                </c:pt>
                <c:pt idx="14">
                  <c:v>02-10-2024 - 08-10-2024</c:v>
                </c:pt>
              </c:strCache>
            </c:strRef>
          </c:cat>
          <c:val>
            <c:numRef>
              <c:f>Viz_1_Weekly_Returns!$C$22:$C$36</c:f>
              <c:numCache>
                <c:formatCode>General</c:formatCode>
                <c:ptCount val="15"/>
                <c:pt idx="0">
                  <c:v>29</c:v>
                </c:pt>
                <c:pt idx="1">
                  <c:v>24</c:v>
                </c:pt>
                <c:pt idx="2">
                  <c:v>25</c:v>
                </c:pt>
                <c:pt idx="3">
                  <c:v>4</c:v>
                </c:pt>
                <c:pt idx="4">
                  <c:v>30</c:v>
                </c:pt>
                <c:pt idx="5">
                  <c:v>21</c:v>
                </c:pt>
                <c:pt idx="6">
                  <c:v>28</c:v>
                </c:pt>
                <c:pt idx="7">
                  <c:v>28</c:v>
                </c:pt>
                <c:pt idx="8">
                  <c:v>21</c:v>
                </c:pt>
                <c:pt idx="9">
                  <c:v>28</c:v>
                </c:pt>
                <c:pt idx="10">
                  <c:v>1</c:v>
                </c:pt>
                <c:pt idx="11">
                  <c:v>29</c:v>
                </c:pt>
                <c:pt idx="12">
                  <c:v>20</c:v>
                </c:pt>
                <c:pt idx="13">
                  <c:v>28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4-48DC-8782-2CC0629BF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202784"/>
        <c:axId val="499214784"/>
      </c:barChart>
      <c:lineChart>
        <c:grouping val="standard"/>
        <c:varyColors val="0"/>
        <c:ser>
          <c:idx val="2"/>
          <c:order val="2"/>
          <c:tx>
            <c:strRef>
              <c:f>Viz_1_Weekly_Returns!$E$21</c:f>
              <c:strCache>
                <c:ptCount val="1"/>
                <c:pt idx="0">
                  <c:v>Return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Viz_1_Weekly_Returns!$B$22:$B$36</c:f>
              <c:strCache>
                <c:ptCount val="15"/>
                <c:pt idx="0">
                  <c:v>30-10-2024 - 05-11-2024</c:v>
                </c:pt>
                <c:pt idx="1">
                  <c:v>27-11-2024 - 03-12-2024</c:v>
                </c:pt>
                <c:pt idx="2">
                  <c:v>25-12-2024 - 31-12-2024</c:v>
                </c:pt>
                <c:pt idx="3">
                  <c:v>25-09-2024 - 01-10-2024</c:v>
                </c:pt>
                <c:pt idx="4">
                  <c:v>23-10-2024 - 29-10-2024</c:v>
                </c:pt>
                <c:pt idx="5">
                  <c:v>20-11-2024 - 26-11-2024</c:v>
                </c:pt>
                <c:pt idx="6">
                  <c:v>18-12-2024 - 24-12-2024</c:v>
                </c:pt>
                <c:pt idx="7">
                  <c:v>16-10-2024 - 22-10-2024</c:v>
                </c:pt>
                <c:pt idx="8">
                  <c:v>13-11-2024 - 19-11-2024</c:v>
                </c:pt>
                <c:pt idx="9">
                  <c:v>11-12-2024 - 17-12-2024</c:v>
                </c:pt>
                <c:pt idx="10">
                  <c:v>10-01-2024 - 16-01-2024</c:v>
                </c:pt>
                <c:pt idx="11">
                  <c:v>09-10-2024 - 15-10-2024</c:v>
                </c:pt>
                <c:pt idx="12">
                  <c:v>06-11-2024 - 12-11-2024</c:v>
                </c:pt>
                <c:pt idx="13">
                  <c:v>04-12-2024 - 10-12-2024</c:v>
                </c:pt>
                <c:pt idx="14">
                  <c:v>02-10-2024 - 08-10-2024</c:v>
                </c:pt>
              </c:strCache>
            </c:strRef>
          </c:cat>
          <c:val>
            <c:numRef>
              <c:f>Viz_1_Weekly_Returns!$E$22:$E$36</c:f>
              <c:numCache>
                <c:formatCode>0%</c:formatCode>
                <c:ptCount val="15"/>
                <c:pt idx="0">
                  <c:v>0.68965517241379315</c:v>
                </c:pt>
                <c:pt idx="1">
                  <c:v>0.5</c:v>
                </c:pt>
                <c:pt idx="2">
                  <c:v>0.6</c:v>
                </c:pt>
                <c:pt idx="3">
                  <c:v>0.5</c:v>
                </c:pt>
                <c:pt idx="4">
                  <c:v>0.56666666666666665</c:v>
                </c:pt>
                <c:pt idx="5">
                  <c:v>0.5714285714285714</c:v>
                </c:pt>
                <c:pt idx="6">
                  <c:v>0.6071428571428571</c:v>
                </c:pt>
                <c:pt idx="7">
                  <c:v>0.39285714285714285</c:v>
                </c:pt>
                <c:pt idx="8">
                  <c:v>0.52380952380952384</c:v>
                </c:pt>
                <c:pt idx="9">
                  <c:v>0.5714285714285714</c:v>
                </c:pt>
                <c:pt idx="10">
                  <c:v>1</c:v>
                </c:pt>
                <c:pt idx="11">
                  <c:v>0.41379310344827586</c:v>
                </c:pt>
                <c:pt idx="12">
                  <c:v>0.65</c:v>
                </c:pt>
                <c:pt idx="13">
                  <c:v>0.6428571428571429</c:v>
                </c:pt>
                <c:pt idx="1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4-48DC-8782-2CC0629BF0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9202784"/>
        <c:axId val="499214784"/>
      </c:lineChart>
      <c:catAx>
        <c:axId val="49921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06144"/>
        <c:crosses val="autoZero"/>
        <c:auto val="1"/>
        <c:lblAlgn val="ctr"/>
        <c:lblOffset val="100"/>
        <c:noMultiLvlLbl val="0"/>
      </c:catAx>
      <c:valAx>
        <c:axId val="4992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WEEKLY</a:t>
                </a:r>
                <a:r>
                  <a:rPr lang="en-IN" baseline="0"/>
                  <a:t>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3344"/>
        <c:crosses val="autoZero"/>
        <c:crossBetween val="between"/>
      </c:valAx>
      <c:valAx>
        <c:axId val="499214784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02784"/>
        <c:crosses val="max"/>
        <c:crossBetween val="between"/>
      </c:valAx>
      <c:catAx>
        <c:axId val="499202784"/>
        <c:scaling>
          <c:orientation val="minMax"/>
        </c:scaling>
        <c:delete val="0"/>
        <c:axPos val="t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478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Outerwear Has the Highest Return Rate at 76%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Viz_2_Category!$B$11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Viz_2_Category!$A$12:$A$16</c:f>
              <c:strCache>
                <c:ptCount val="5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Outerwear</c:v>
                </c:pt>
                <c:pt idx="4">
                  <c:v>Tops</c:v>
                </c:pt>
              </c:strCache>
            </c:strRef>
          </c:cat>
          <c:val>
            <c:numRef>
              <c:f>Viz_2_Category!$B$12:$B$16</c:f>
              <c:numCache>
                <c:formatCode>0%</c:formatCode>
                <c:ptCount val="5"/>
                <c:pt idx="0">
                  <c:v>0.23529411764705882</c:v>
                </c:pt>
                <c:pt idx="1">
                  <c:v>0.37313432835820898</c:v>
                </c:pt>
                <c:pt idx="2">
                  <c:v>0.62857142857142856</c:v>
                </c:pt>
                <c:pt idx="3">
                  <c:v>0.76470588235294112</c:v>
                </c:pt>
                <c:pt idx="4">
                  <c:v>0.58904109589041098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9-4A0A-9C80-8D28A7059C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212864"/>
        <c:axId val="499216224"/>
      </c:barChart>
      <c:catAx>
        <c:axId val="49921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6224"/>
        <c:crosses val="autoZero"/>
        <c:auto val="1"/>
        <c:lblAlgn val="ctr"/>
        <c:lblOffset val="100"/>
        <c:noMultiLvlLbl val="0"/>
      </c:catAx>
      <c:valAx>
        <c:axId val="4992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Intern_MOUPIYA DAS_February2026.xlsx]Viz_3_Return_Reasons!PivotTable21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Size Issues Drive the Majority of Returns (37%)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17206933508311462"/>
          <c:y val="0.19703266258384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Viz_3_Return_Reasons!$B$3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Viz_3_Return_Reasons!$A$4:$A$9</c:f>
              <c:strCache>
                <c:ptCount val="5"/>
                <c:pt idx="0">
                  <c:v>Changed Mind</c:v>
                </c:pt>
                <c:pt idx="1">
                  <c:v>Damaged in Transit</c:v>
                </c:pt>
                <c:pt idx="2">
                  <c:v>Quality Defect</c:v>
                </c:pt>
                <c:pt idx="3">
                  <c:v>Size Issue</c:v>
                </c:pt>
                <c:pt idx="4">
                  <c:v>Wrong Item</c:v>
                </c:pt>
              </c:strCache>
            </c:strRef>
          </c:cat>
          <c:val>
            <c:numRef>
              <c:f>Viz_3_Return_Reasons!$B$4:$B$9</c:f>
              <c:numCache>
                <c:formatCode>General</c:formatCode>
                <c:ptCount val="5"/>
                <c:pt idx="0">
                  <c:v>29</c:v>
                </c:pt>
                <c:pt idx="1">
                  <c:v>24</c:v>
                </c:pt>
                <c:pt idx="2">
                  <c:v>32</c:v>
                </c:pt>
                <c:pt idx="3">
                  <c:v>67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9-4C4A-BF65-72E0A81D8F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Instagram Is a High-Risk Channel for New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Viz_4_Customer_Source!$A$21:$B$21</c:f>
              <c:strCache>
                <c:ptCount val="2"/>
                <c:pt idx="0">
                  <c:v>New</c:v>
                </c:pt>
                <c:pt idx="1">
                  <c:v>Instagram Shop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Viz_4_Customer_Source!$C$21</c:f>
              <c:numCache>
                <c:formatCode>0.00%</c:formatCode>
                <c:ptCount val="1"/>
                <c:pt idx="0">
                  <c:v>0.71589999999999998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4-4C4D-B051-551DBF5F31AA}"/>
            </c:ext>
          </c:extLst>
        </c:ser>
        <c:ser>
          <c:idx val="1"/>
          <c:order val="1"/>
          <c:tx>
            <c:strRef>
              <c:f>Viz_4_Customer_Source!$A$22:$B$22</c:f>
              <c:strCache>
                <c:ptCount val="2"/>
                <c:pt idx="0">
                  <c:v>New</c:v>
                </c:pt>
                <c:pt idx="1">
                  <c:v>Mobile App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Viz_4_Customer_Source!$C$22</c:f>
              <c:numCache>
                <c:formatCode>0.00%</c:formatCode>
                <c:ptCount val="1"/>
                <c:pt idx="0">
                  <c:v>0.51690000000000003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4-4C4D-B051-551DBF5F31AA}"/>
            </c:ext>
          </c:extLst>
        </c:ser>
        <c:ser>
          <c:idx val="2"/>
          <c:order val="2"/>
          <c:tx>
            <c:strRef>
              <c:f>Viz_4_Customer_Source!$A$23:$B$23</c:f>
              <c:strCache>
                <c:ptCount val="2"/>
                <c:pt idx="0">
                  <c:v>New</c:v>
                </c:pt>
                <c:pt idx="1">
                  <c:v>Website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Viz_4_Customer_Source!$C$23</c:f>
              <c:numCache>
                <c:formatCode>0.00%</c:formatCode>
                <c:ptCount val="1"/>
                <c:pt idx="0">
                  <c:v>0.40860000000000002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4-4C4D-B051-551DBF5F31AA}"/>
            </c:ext>
          </c:extLst>
        </c:ser>
        <c:ser>
          <c:idx val="3"/>
          <c:order val="3"/>
          <c:tx>
            <c:strRef>
              <c:f>Viz_4_Customer_Source!$A$24:$B$24</c:f>
              <c:strCache>
                <c:ptCount val="2"/>
                <c:pt idx="0">
                  <c:v>Returning</c:v>
                </c:pt>
                <c:pt idx="1">
                  <c:v>Instagram Shop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Viz_4_Customer_Source!$C$24</c:f>
              <c:numCache>
                <c:formatCode>0.00%</c:formatCode>
                <c:ptCount val="1"/>
                <c:pt idx="0">
                  <c:v>0.38100000000000001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24-4C4D-B051-551DBF5F31AA}"/>
            </c:ext>
          </c:extLst>
        </c:ser>
        <c:ser>
          <c:idx val="4"/>
          <c:order val="4"/>
          <c:tx>
            <c:strRef>
              <c:f>Viz_4_Customer_Source!$A$25:$B$25</c:f>
              <c:strCache>
                <c:ptCount val="2"/>
                <c:pt idx="0">
                  <c:v>Returning</c:v>
                </c:pt>
                <c:pt idx="1">
                  <c:v>Mobile App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Viz_4_Customer_Source!$C$25</c:f>
              <c:numCache>
                <c:formatCode>0.00%</c:formatCode>
                <c:ptCount val="1"/>
                <c:pt idx="0">
                  <c:v>0.55559999999999998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24-4C4D-B051-551DBF5F31AA}"/>
            </c:ext>
          </c:extLst>
        </c:ser>
        <c:ser>
          <c:idx val="5"/>
          <c:order val="5"/>
          <c:tx>
            <c:strRef>
              <c:f>Viz_4_Customer_Source!$A$26:$B$26</c:f>
              <c:strCache>
                <c:ptCount val="2"/>
                <c:pt idx="0">
                  <c:v>Returning</c:v>
                </c:pt>
                <c:pt idx="1">
                  <c:v>Website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Viz_4_Customer_Source!$C$20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Viz_4_Customer_Source!$C$26</c:f>
              <c:numCache>
                <c:formatCode>0.00%</c:formatCode>
                <c:ptCount val="1"/>
                <c:pt idx="0">
                  <c:v>0.35709999999999997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24-4C4D-B051-551DBF5F31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64832"/>
        <c:axId val="140069632"/>
      </c:barChart>
      <c:catAx>
        <c:axId val="14006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Customer Type × Channel</a:t>
                </a:r>
                <a:endParaRPr lang="en-IN" sz="1000" b="0" i="0" u="none" strike="noStrik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9632"/>
        <c:crosses val="autoZero"/>
        <c:auto val="1"/>
        <c:lblAlgn val="ctr"/>
        <c:lblOffset val="100"/>
        <c:noMultiLvlLbl val="0"/>
      </c:catAx>
      <c:valAx>
        <c:axId val="1400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Return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COD Orders Have Higher Return Risk Than Prepaid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Viz_5_Payment!$B$1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Viz_5_Payment!$A$2:$A$3</c:f>
              <c:strCache>
                <c:ptCount val="2"/>
                <c:pt idx="0">
                  <c:v>COD</c:v>
                </c:pt>
                <c:pt idx="1">
                  <c:v>Prepaid</c:v>
                </c:pt>
              </c:strCache>
            </c:strRef>
          </c:cat>
          <c:val>
            <c:numRef>
              <c:f>Viz_5_Payment!$B$2:$B$3</c:f>
              <c:numCache>
                <c:formatCode>0%</c:formatCode>
                <c:ptCount val="2"/>
                <c:pt idx="0">
                  <c:v>0.60317460317460314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5-4F34-991C-8949A6910F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78752"/>
        <c:axId val="140062432"/>
      </c:barChart>
      <c:catAx>
        <c:axId val="14007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</a:t>
                </a:r>
                <a:r>
                  <a:rPr lang="en-IN" baseline="0"/>
                  <a:t> Mode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2432"/>
        <c:crosses val="autoZero"/>
        <c:auto val="1"/>
        <c:lblAlgn val="ctr"/>
        <c:lblOffset val="100"/>
        <c:noMultiLvlLbl val="0"/>
      </c:catAx>
      <c:valAx>
        <c:axId val="1400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1470339</xdr:colOff>
      <xdr:row>37</xdr:row>
      <xdr:rowOff>77272</xdr:rowOff>
    </xdr:from>
    <xdr:to>
      <xdr:col>6</xdr:col>
      <xdr:colOff>708337</xdr:colOff>
      <xdr:row>59</xdr:row>
      <xdr:rowOff>10732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F43D46-4956-8E15-D6D6-0D2C065BF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11</xdr:row>
      <xdr:rowOff>19050</xdr:rowOff>
    </xdr:from>
    <xdr:to>
      <xdr:col>12</xdr:col>
      <xdr:colOff>152400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2BD5E-F374-6193-F80C-722D55A73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80010</xdr:rowOff>
    </xdr:from>
    <xdr:to>
      <xdr:col>6</xdr:col>
      <xdr:colOff>339090</xdr:colOff>
      <xdr:row>25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2AF7B-EF92-91E8-5EBC-CFD31CBBF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27</xdr:row>
      <xdr:rowOff>49530</xdr:rowOff>
    </xdr:from>
    <xdr:to>
      <xdr:col>6</xdr:col>
      <xdr:colOff>152400</xdr:colOff>
      <xdr:row>42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540FE-CE74-3FEE-82D4-BB3F617CE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4</xdr:row>
      <xdr:rowOff>148590</xdr:rowOff>
    </xdr:from>
    <xdr:to>
      <xdr:col>12</xdr:col>
      <xdr:colOff>182880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D2D34-F0A8-8F08-1C01-41807BADA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piya Das" refreshedDate="46057.895402199072" createdVersion="8" refreshedVersion="8" minRefreshableVersion="3" recordCount="346" xr:uid="{8147285B-D549-4862-B417-246C32D3E2D7}">
  <cacheSource type="worksheet">
    <worksheetSource ref="A1:W347" sheet="Raw_Data"/>
  </cacheSource>
  <cacheFields count="25">
    <cacheField name="Order ID" numFmtId="0">
      <sharedItems count="346">
        <s v="UT-100001"/>
        <s v="UT-100002"/>
        <s v="UT-100003"/>
        <s v="UT-100004"/>
        <s v="UT-100005"/>
        <s v="UT-100006"/>
        <s v="UT-100007"/>
        <s v="UT-100008"/>
        <s v="UT-100009"/>
        <s v="UT-100010"/>
        <s v="UT-100011"/>
        <s v="UT-100012"/>
        <s v="UT-100013"/>
        <s v="UT-100014"/>
        <s v="UT-100015"/>
        <s v="UT-100016"/>
        <s v="UT-100017"/>
        <s v="UT-100018"/>
        <s v="UT-100019"/>
        <s v="UT-100020"/>
        <s v="UT-100021"/>
        <s v="UT-100022"/>
        <s v="UT-100023"/>
        <s v="UT-100024"/>
        <s v="UT-100025"/>
        <s v="UT-100026"/>
        <s v="UT-100027"/>
        <s v="UT-100028"/>
        <s v="UT-100029"/>
        <s v="UT-100030"/>
        <s v="UT-100031"/>
        <s v="UT-100032"/>
        <s v="UT-100033"/>
        <s v="UT-100034"/>
        <s v="UT-100035"/>
        <s v="UT-100036"/>
        <s v="UT-100037"/>
        <s v="UT-100038"/>
        <s v="UT-100039"/>
        <s v="UT-100040"/>
        <s v="UT-100041"/>
        <s v="UT-100042"/>
        <s v="UT-100043"/>
        <s v="UT-100044"/>
        <s v="UT-100045"/>
        <s v="UT-100046"/>
        <s v="UT-100047"/>
        <s v="UT-100048"/>
        <s v="UT-100049"/>
        <s v="UT-100050"/>
        <s v="UT-100051"/>
        <s v="UT-100052"/>
        <s v="UT-100053"/>
        <s v="UT-100054"/>
        <s v="UT-100055"/>
        <s v="UT-100056"/>
        <s v="UT-100057"/>
        <s v="UT-100058"/>
        <s v="UT-100059"/>
        <s v="UT-100060"/>
        <s v="UT-100061"/>
        <s v="UT-100062"/>
        <s v="UT-100063"/>
        <s v="UT-100064"/>
        <s v="UT-100065"/>
        <s v="UT-100066"/>
        <s v="UT-100067"/>
        <s v="UT-100068"/>
        <s v="UT-100069"/>
        <s v="UT-100070"/>
        <s v="UT-100071"/>
        <s v="UT-100072"/>
        <s v="UT-100073"/>
        <s v="UT-100074"/>
        <s v="UT-100075"/>
        <s v="UT-100076"/>
        <s v="UT-100077"/>
        <s v="UT-100078"/>
        <s v="UT-100079"/>
        <s v="UT-100080"/>
        <s v="UT-100081"/>
        <s v="UT-100082"/>
        <s v="UT-100083"/>
        <s v="UT-100084"/>
        <s v="UT-100085"/>
        <s v="UT-100086"/>
        <s v="UT-100087"/>
        <s v="UT-100088"/>
        <s v="UT-100089"/>
        <s v="UT-100090"/>
        <s v="UT-100091"/>
        <s v="UT-100092"/>
        <s v="UT-100093"/>
        <s v="UT-100094"/>
        <s v="UT-100095"/>
        <s v="UT-100096"/>
        <s v="UT-100097"/>
        <s v="UT-100098"/>
        <s v="UT-100099"/>
        <s v="UT-100100"/>
        <s v="UT-100101"/>
        <s v="UT-100102"/>
        <s v="UT-100103"/>
        <s v="UT-100104"/>
        <s v="UT-100105"/>
        <s v="UT-100106"/>
        <s v="UT-100107"/>
        <s v="UT-100108"/>
        <s v="UT-100109"/>
        <s v="UT-100110"/>
        <s v="UT-100111"/>
        <s v="UT-100112"/>
        <s v="UT-100113"/>
        <s v="UT-100114"/>
        <s v="UT-100115"/>
        <s v="UT-100116"/>
        <s v="UT-100117"/>
        <s v="UT-100118"/>
        <s v="UT-100119"/>
        <s v="UT-100120"/>
        <s v="UT-100121"/>
        <s v="UT-100122"/>
        <s v="UT-100123"/>
        <s v="UT-100124"/>
        <s v="UT-100125"/>
        <s v="UT-100126"/>
        <s v="UT-100127"/>
        <s v="UT-100128"/>
        <s v="UT-100129"/>
        <s v="UT-100130"/>
        <s v="UT-100131"/>
        <s v="UT-100132"/>
        <s v="UT-100133"/>
        <s v="UT-100134"/>
        <s v="UT-100135"/>
        <s v="UT-100136"/>
        <s v="UT-100137"/>
        <s v="UT-100138"/>
        <s v="UT-100139"/>
        <s v="UT-100140"/>
        <s v="UT-100141"/>
        <s v="UT-100142"/>
        <s v="UT-100143"/>
        <s v="UT-100144"/>
        <s v="UT-100145"/>
        <s v="UT-100146"/>
        <s v="UT-100147"/>
        <s v="UT-100148"/>
        <s v="UT-100149"/>
        <s v="UT-100150"/>
        <s v="UT-100151"/>
        <s v="UT-100152"/>
        <s v="UT-100153"/>
        <s v="UT-100154"/>
        <s v="UT-100155"/>
        <s v="UT-100156"/>
        <s v="UT-100157"/>
        <s v="UT-100158"/>
        <s v="UT-100159"/>
        <s v="UT-100160"/>
        <s v="UT-100161"/>
        <s v="UT-100162"/>
        <s v="UT-100163"/>
        <s v="UT-100164"/>
        <s v="UT-100165"/>
        <s v="UT-100166"/>
        <s v="UT-100167"/>
        <s v="UT-100168"/>
        <s v="UT-100169"/>
        <s v="UT-100170"/>
        <s v="UT-100171"/>
        <s v="UT-100172"/>
        <s v="UT-100173"/>
        <s v="UT-100174"/>
        <s v="UT-100175"/>
        <s v="UT-100176"/>
        <s v="UT-100177"/>
        <s v="UT-100178"/>
        <s v="UT-100179"/>
        <s v="UT-100180"/>
        <s v="UT-100181"/>
        <s v="UT-100182"/>
        <s v="UT-100183"/>
        <s v="UT-100184"/>
        <s v="UT-100185"/>
        <s v="UT-100186"/>
        <s v="UT-100187"/>
        <s v="UT-100188"/>
        <s v="UT-100189"/>
        <s v="UT-100190"/>
        <s v="UT-100191"/>
        <s v="UT-100192"/>
        <s v="UT-100193"/>
        <s v="UT-100194"/>
        <s v="UT-100195"/>
        <s v="UT-100196"/>
        <s v="UT-100197"/>
        <s v="UT-100198"/>
        <s v="UT-100199"/>
        <s v="UT-100200"/>
        <s v="UT-100201"/>
        <s v="UT-100202"/>
        <s v="UT-100203"/>
        <s v="UT-100204"/>
        <s v="UT-100205"/>
        <s v="UT-100206"/>
        <s v="UT-100207"/>
        <s v="UT-100208"/>
        <s v="UT-100209"/>
        <s v="UT-100210"/>
        <s v="UT-100211"/>
        <s v="UT-100212"/>
        <s v="UT-100213"/>
        <s v="UT-100214"/>
        <s v="UT-100215"/>
        <s v="UT-100216"/>
        <s v="UT-100217"/>
        <s v="UT-100218"/>
        <s v="UT-100219"/>
        <s v="UT-100220"/>
        <s v="UT-100221"/>
        <s v="UT-100222"/>
        <s v="UT-100223"/>
        <s v="UT-100224"/>
        <s v="UT-100225"/>
        <s v="UT-100226"/>
        <s v="UT-100227"/>
        <s v="UT-100228"/>
        <s v="UT-100229"/>
        <s v="UT-100230"/>
        <s v="UT-100231"/>
        <s v="UT-100232"/>
        <s v="UT-100233"/>
        <s v="UT-100234"/>
        <s v="UT-100235"/>
        <s v="UT-100236"/>
        <s v="UT-100237"/>
        <s v="UT-100238"/>
        <s v="UT-100239"/>
        <s v="UT-100240"/>
        <s v="UT-100241"/>
        <s v="UT-100242"/>
        <s v="UT-100243"/>
        <s v="UT-100244"/>
        <s v="UT-100245"/>
        <s v="UT-100246"/>
        <s v="UT-100247"/>
        <s v="UT-100248"/>
        <s v="UT-100249"/>
        <s v="UT-100250"/>
        <s v="UT-100251"/>
        <s v="UT-100252"/>
        <s v="UT-100253"/>
        <s v="UT-100254"/>
        <s v="UT-100255"/>
        <s v="UT-100256"/>
        <s v="UT-100257"/>
        <s v="UT-100258"/>
        <s v="UT-100259"/>
        <s v="UT-100260"/>
        <s v="UT-100261"/>
        <s v="UT-100262"/>
        <s v="UT-100263"/>
        <s v="UT-100264"/>
        <s v="UT-100265"/>
        <s v="UT-100266"/>
        <s v="UT-100267"/>
        <s v="UT-100268"/>
        <s v="UT-100269"/>
        <s v="UT-100270"/>
        <s v="UT-100271"/>
        <s v="UT-100272"/>
        <s v="UT-100273"/>
        <s v="UT-100274"/>
        <s v="UT-100275"/>
        <s v="UT-100276"/>
        <s v="UT-100277"/>
        <s v="UT-100278"/>
        <s v="UT-100279"/>
        <s v="UT-100280"/>
        <s v="UT-100281"/>
        <s v="UT-100282"/>
        <s v="UT-100283"/>
        <s v="UT-100284"/>
        <s v="UT-100285"/>
        <s v="UT-100286"/>
        <s v="UT-100287"/>
        <s v="UT-100288"/>
        <s v="UT-100289"/>
        <s v="UT-100290"/>
        <s v="UT-100291"/>
        <s v="UT-100292"/>
        <s v="UT-100293"/>
        <s v="UT-100294"/>
        <s v="UT-100295"/>
        <s v="UT-100296"/>
        <s v="UT-100297"/>
        <s v="UT-100298"/>
        <s v="UT-100299"/>
        <s v="UT-100300"/>
        <s v="UT-100301"/>
        <s v="UT-100302"/>
        <s v="UT-100303"/>
        <s v="UT-100304"/>
        <s v="UT-100305"/>
        <s v="UT-100306"/>
        <s v="UT-100307"/>
        <s v="UT-100308"/>
        <s v="UT-100309"/>
        <s v="UT-100310"/>
        <s v="UT-100311"/>
        <s v="UT-100312"/>
        <s v="UT-100313"/>
        <s v="UT-100314"/>
        <s v="UT-100315"/>
        <s v="UT-100316"/>
        <s v="UT-100317"/>
        <s v="UT-100318"/>
        <s v="UT-100319"/>
        <s v="UT-100320"/>
        <s v="UT-100321"/>
        <s v="UT-100322"/>
        <s v="UT-100323"/>
        <s v="UT-100324"/>
        <s v="UT-100325"/>
        <s v="UT-100326"/>
        <s v="UT-100327"/>
        <s v="UT-100328"/>
        <s v="UT-100329"/>
        <s v="UT-100330"/>
        <s v="UT-100331"/>
        <s v="UT-100332"/>
        <s v="UT-100333"/>
        <s v="UT-100334"/>
        <s v="UT-100335"/>
        <s v="UT-100336"/>
        <s v="UT-100337"/>
        <s v="UT-100338"/>
        <s v="UT-100339"/>
        <s v="UT-100340"/>
        <s v="UT-100341"/>
        <s v="UT-100342"/>
        <s v="UT-100343"/>
        <s v="UT-100344"/>
        <s v="UT-100345"/>
        <s v="UT-100346"/>
      </sharedItems>
    </cacheField>
    <cacheField name="Order Date" numFmtId="14">
      <sharedItems containsSemiMixedTypes="0" containsNonDate="0" containsDate="1" containsString="0" minDate="2024-01-10T00:00:00" maxDate="2025-01-01T00:00:00" count="93">
        <d v="2024-10-01T00:00:00"/>
        <d v="2024-01-10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24"/>
    </cacheField>
    <cacheField name="Customer ID" numFmtId="0">
      <sharedItems/>
    </cacheField>
    <cacheField name="Type" numFmtId="0">
      <sharedItems count="2">
        <s v="New"/>
        <s v="Returning"/>
      </sharedItems>
    </cacheField>
    <cacheField name="SKU" numFmtId="0">
      <sharedItems/>
    </cacheField>
    <cacheField name="Category" numFmtId="0">
      <sharedItems count="5">
        <s v="Tops"/>
        <s v="Dresses"/>
        <s v="Bottoms"/>
        <s v="Outerwear"/>
        <s v="Accessories"/>
      </sharedItems>
    </cacheField>
    <cacheField name="Product Name" numFmtId="0">
      <sharedItems/>
    </cacheField>
    <cacheField name="Unit Price" numFmtId="0">
      <sharedItems containsSemiMixedTypes="0" containsString="0" containsNumber="1" containsInteger="1" minValue="299" maxValue="8999"/>
    </cacheField>
    <cacheField name="Qty" numFmtId="0">
      <sharedItems containsSemiMixedTypes="0" containsString="0" containsNumber="1" containsInteger="1" minValue="-1" maxValue="5"/>
    </cacheField>
    <cacheField name="Total" numFmtId="0">
      <sharedItems containsSemiMixedTypes="0" containsString="0" containsNumber="1" containsInteger="1" minValue="699" maxValue="8999"/>
    </cacheField>
    <cacheField name="Discount Code" numFmtId="0">
      <sharedItems/>
    </cacheField>
    <cacheField name="Disc %" numFmtId="0">
      <sharedItems containsSemiMixedTypes="0" containsString="0" containsNumber="1" containsInteger="1" minValue="0" maxValue="40"/>
    </cacheField>
    <cacheField name="Payment" numFmtId="0">
      <sharedItems/>
    </cacheField>
    <cacheField name="Source" numFmtId="0">
      <sharedItems count="3">
        <s v="Website"/>
        <s v="Mobile App"/>
        <s v="Instagram Shop"/>
      </sharedItems>
    </cacheField>
    <cacheField name="City" numFmtId="0">
      <sharedItems/>
    </cacheField>
    <cacheField name="State" numFmtId="0">
      <sharedItems/>
    </cacheField>
    <cacheField name="Warehouse" numFmtId="0">
      <sharedItems/>
    </cacheField>
    <cacheField name="Del Date" numFmtId="14">
      <sharedItems containsNonDate="0" containsDate="1" containsString="0" containsBlank="1" minDate="2024-10-04T00:00:00" maxDate="2025-01-29T00:00:00"/>
    </cacheField>
    <cacheField name="Status" numFmtId="0">
      <sharedItems/>
    </cacheField>
    <cacheField name="Return?" numFmtId="0">
      <sharedItems count="2">
        <s v="No"/>
        <s v="Yes"/>
      </sharedItems>
    </cacheField>
    <cacheField name="Reason" numFmtId="0">
      <sharedItems containsBlank="1" count="7">
        <m/>
        <s v="Size Issue"/>
        <s v=""/>
        <s v="Quality Defect"/>
        <s v="Changed Mind"/>
        <s v="Wrong Item"/>
        <s v="Damaged in Transit"/>
      </sharedItems>
    </cacheField>
    <cacheField name="Ret Rec" numFmtId="14">
      <sharedItems containsNonDate="0" containsDate="1" containsString="0" containsBlank="1" minDate="2024-10-15T00:00:00" maxDate="2025-02-26T00:00:00"/>
    </cacheField>
    <cacheField name="Refund" numFmtId="0">
      <sharedItems/>
    </cacheField>
    <cacheField name="Returned Orders_Calc" numFmtId="0" formula="IF(Return?=&quot;Yes&quot;,1,0)" databaseField="0"/>
    <cacheField name="Days (Order Date)" numFmtId="0" databaseField="0">
      <fieldGroup base="1">
        <rangePr groupBy="days" startDate="2024-01-10T00:00:00" endDate="2025-01-01T00:00:00" groupInterval="7"/>
        <groupItems count="53">
          <s v="&lt;10-01-2024"/>
          <s v="10-01-2024 - 16-01-2024"/>
          <s v="17-01-2024 - 23-01-2024"/>
          <s v="24-01-2024 - 30-01-2024"/>
          <s v="31-01-2024 - 06-02-2024"/>
          <s v="07-02-2024 - 13-02-2024"/>
          <s v="14-02-2024 - 20-02-2024"/>
          <s v="21-02-2024 - 27-02-2024"/>
          <s v="28-02-2024 - 05-03-2024"/>
          <s v="06-03-2024 - 12-03-2024"/>
          <s v="13-03-2024 - 19-03-2024"/>
          <s v="20-03-2024 - 26-03-2024"/>
          <s v="27-03-2024 - 02-04-2024"/>
          <s v="03-04-2024 - 09-04-2024"/>
          <s v="10-04-2024 - 16-04-2024"/>
          <s v="17-04-2024 - 23-04-2024"/>
          <s v="24-04-2024 - 30-04-2024"/>
          <s v="01-05-2024 - 07-05-2024"/>
          <s v="08-05-2024 - 14-05-2024"/>
          <s v="15-05-2024 - 21-05-2024"/>
          <s v="22-05-2024 - 28-05-2024"/>
          <s v="29-05-2024 - 04-06-2024"/>
          <s v="05-06-2024 - 11-06-2024"/>
          <s v="12-06-2024 - 18-06-2024"/>
          <s v="19-06-2024 - 25-06-2024"/>
          <s v="26-06-2024 - 02-07-2024"/>
          <s v="03-07-2024 - 09-07-2024"/>
          <s v="10-07-2024 - 16-07-2024"/>
          <s v="17-07-2024 - 23-07-2024"/>
          <s v="24-07-2024 - 30-07-2024"/>
          <s v="31-07-2024 - 06-08-2024"/>
          <s v="07-08-2024 - 13-08-2024"/>
          <s v="14-08-2024 - 20-08-2024"/>
          <s v="21-08-2024 - 27-08-2024"/>
          <s v="28-08-2024 - 03-09-2024"/>
          <s v="04-09-2024 - 10-09-2024"/>
          <s v="11-09-2024 - 17-09-2024"/>
          <s v="18-09-2024 - 24-09-2024"/>
          <s v="25-09-2024 - 01-10-2024"/>
          <s v="02-10-2024 - 08-10-2024"/>
          <s v="09-10-2024 - 15-10-2024"/>
          <s v="16-10-2024 - 22-10-2024"/>
          <s v="23-10-2024 - 29-10-2024"/>
          <s v="30-10-2024 - 05-11-2024"/>
          <s v="06-11-2024 - 12-11-2024"/>
          <s v="13-11-2024 - 19-11-2024"/>
          <s v="20-11-2024 - 26-11-2024"/>
          <s v="27-11-2024 - 03-12-2024"/>
          <s v="04-12-2024 - 10-12-2024"/>
          <s v="11-12-2024 - 17-12-2024"/>
          <s v="18-12-2024 - 24-12-2024"/>
          <s v="25-12-2024 - 31-12-2024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x v="0"/>
    <s v="CUST_10001"/>
    <x v="0"/>
    <s v="TOP-CAS-M"/>
    <x v="0"/>
    <s v="Classic Cotton Tee"/>
    <n v="1299"/>
    <n v="2"/>
    <n v="2598"/>
    <s v=""/>
    <n v="0"/>
    <s v="UPI"/>
    <x v="0"/>
    <s v="Mumbai"/>
    <s v="Maharashtra"/>
    <s v="Mumbai"/>
    <d v="2024-10-05T00:00:00"/>
    <s v="Delivered"/>
    <x v="0"/>
    <x v="0"/>
    <m/>
    <s v="Not Applicable"/>
  </r>
  <r>
    <x v="1"/>
    <x v="0"/>
    <s v="CUST_10002"/>
    <x v="1"/>
    <s v="DRS-FRM-S"/>
    <x v="1"/>
    <s v="Floral Midi Dress"/>
    <n v="2499"/>
    <n v="1"/>
    <n v="2499"/>
    <s v="DIWALI20"/>
    <n v="20"/>
    <s v="Credit Card"/>
    <x v="1"/>
    <s v="Delhi"/>
    <s v="Delhi"/>
    <s v="Delhi"/>
    <d v="2024-10-04T00:00:00"/>
    <s v="Delivered"/>
    <x v="1"/>
    <x v="1"/>
    <d v="2024-10-15T00:00:00"/>
    <s v="Processed"/>
  </r>
  <r>
    <x v="2"/>
    <x v="1"/>
    <s v="CUST_10003"/>
    <x v="0"/>
    <s v="BOT-JNS-L"/>
    <x v="2"/>
    <s v="Slim Fit Jeans"/>
    <n v="1899"/>
    <n v="1"/>
    <n v="1899"/>
    <s v=""/>
    <n v="0"/>
    <s v="COD"/>
    <x v="0"/>
    <s v="Bangalore"/>
    <s v="Karnataka"/>
    <s v="Bangalore"/>
    <d v="2024-10-06T00:00:00"/>
    <s v="Delivered"/>
    <x v="0"/>
    <x v="2"/>
    <m/>
    <s v="Not Applicable"/>
  </r>
  <r>
    <x v="3"/>
    <x v="0"/>
    <s v="CUST_10004"/>
    <x v="0"/>
    <s v="OUT-JKT-XL"/>
    <x v="3"/>
    <s v="Denim Jacket"/>
    <n v="3499"/>
    <n v="1"/>
    <n v="3499"/>
    <s v="FIRST15"/>
    <n v="15"/>
    <s v="Debit Card"/>
    <x v="2"/>
    <s v="Chennai"/>
    <s v="Tamil Nadu"/>
    <s v="Mumbai"/>
    <d v="2024-10-08T00:00:00"/>
    <s v="Delivered"/>
    <x v="1"/>
    <x v="3"/>
    <d v="2024-10-20T00:00:00"/>
    <s v="Processed"/>
  </r>
  <r>
    <x v="4"/>
    <x v="0"/>
    <s v="CUST_10001"/>
    <x v="0"/>
    <s v="ACC-SCF-OS"/>
    <x v="4"/>
    <s v="Silk Scarf"/>
    <n v="799"/>
    <n v="3"/>
    <n v="2397"/>
    <s v=""/>
    <n v="0"/>
    <s v="UPI"/>
    <x v="0"/>
    <s v="Mumbai"/>
    <s v="Maharashtra"/>
    <s v="Mumbai"/>
    <d v="2024-10-06T00:00:00"/>
    <s v="Delivered"/>
    <x v="0"/>
    <x v="2"/>
    <m/>
    <s v="Not Applicable"/>
  </r>
  <r>
    <x v="5"/>
    <x v="2"/>
    <s v="CUST_10005"/>
    <x v="1"/>
    <s v="TOP-FRM-S"/>
    <x v="0"/>
    <s v="Printed Blouse"/>
    <n v="1599"/>
    <n v="2"/>
    <n v="3198"/>
    <s v=""/>
    <n v="0"/>
    <s v="Credit Card"/>
    <x v="1"/>
    <s v="Hyderabad"/>
    <s v="Telangana"/>
    <s v="Bangalore"/>
    <d v="2024-10-07T00:00:00"/>
    <s v="Delivered"/>
    <x v="1"/>
    <x v="4"/>
    <d v="2024-10-18T00:00:00"/>
    <s v="Processed"/>
  </r>
  <r>
    <x v="6"/>
    <x v="2"/>
    <s v="CUST_10006"/>
    <x v="0"/>
    <s v="DRS-CAS-M"/>
    <x v="1"/>
    <s v="A-Line Dress"/>
    <n v="2199"/>
    <n v="1"/>
    <n v="2199"/>
    <s v="DIWALI20"/>
    <n v="20"/>
    <s v="COD"/>
    <x v="0"/>
    <s v="Pune"/>
    <s v="Maharashtra"/>
    <s v="Mumbai"/>
    <m/>
    <s v="Cancelled"/>
    <x v="0"/>
    <x v="2"/>
    <m/>
    <s v="Not Applicable"/>
  </r>
  <r>
    <x v="7"/>
    <x v="2"/>
    <s v="CUST_10007"/>
    <x v="0"/>
    <s v="BOT-TRS-L"/>
    <x v="2"/>
    <s v="Formal Trousers"/>
    <n v="2299"/>
    <n v="1"/>
    <n v="2299"/>
    <s v=""/>
    <n v="0"/>
    <s v="UPI"/>
    <x v="1"/>
    <s v="Kolkata"/>
    <s v="West Bengal"/>
    <s v="Delhi"/>
    <d v="2024-10-10T00:00:00"/>
    <s v="Delivered"/>
    <x v="0"/>
    <x v="2"/>
    <m/>
    <s v="Not Applicable"/>
  </r>
  <r>
    <x v="8"/>
    <x v="2"/>
    <s v="CUST_10008"/>
    <x v="1"/>
    <s v="TOP-CAS-XL"/>
    <x v="0"/>
    <s v="Oversized Tee"/>
    <n v="1399"/>
    <n v="5"/>
    <n v="6995"/>
    <s v=""/>
    <n v="0"/>
    <s v="Credit Card"/>
    <x v="0"/>
    <s v="Ahmedabad"/>
    <s v="Gujarat"/>
    <s v="Mumbai"/>
    <d v="2024-10-09T00:00:00"/>
    <s v="Delivered"/>
    <x v="1"/>
    <x v="1"/>
    <d v="2024-10-22T00:00:00"/>
    <s v="Processed"/>
  </r>
  <r>
    <x v="9"/>
    <x v="2"/>
    <s v="CUST_10009"/>
    <x v="0"/>
    <s v="OUT-BLZ-M"/>
    <x v="3"/>
    <s v="Casual Blazer"/>
    <n v="4999"/>
    <n v="-1"/>
    <n v="4999"/>
    <s v=""/>
    <n v="0"/>
    <s v="Debit Card"/>
    <x v="2"/>
    <s v="Jaipur"/>
    <s v="Rajasthan"/>
    <s v="Delhi"/>
    <d v="2024-10-11T00:00:00"/>
    <s v="Delivered"/>
    <x v="1"/>
    <x v="5"/>
    <d v="2024-10-25T00:00:00"/>
    <s v="Pending"/>
  </r>
  <r>
    <x v="10"/>
    <x v="3"/>
    <s v="CUST_10010"/>
    <x v="0"/>
    <s v="ACC-BAG-OS"/>
    <x v="4"/>
    <s v="Tote Bag"/>
    <n v="1299"/>
    <n v="2"/>
    <n v="2598"/>
    <s v="FLAT10"/>
    <n v="10"/>
    <s v="Wallet"/>
    <x v="0"/>
    <s v="Lucknow"/>
    <s v="Uttar Pradesh"/>
    <s v="Delhi"/>
    <d v="2024-10-10T00:00:00"/>
    <s v="Delivered"/>
    <x v="0"/>
    <x v="2"/>
    <m/>
    <s v="Not Applicable"/>
  </r>
  <r>
    <x v="11"/>
    <x v="3"/>
    <s v="CUST_10011"/>
    <x v="0"/>
    <s v="DRS-PRT-S"/>
    <x v="1"/>
    <s v="Party Dress"/>
    <n v="3299"/>
    <n v="1"/>
    <n v="3299"/>
    <s v=""/>
    <n v="0"/>
    <s v="COD"/>
    <x v="1"/>
    <s v="Chandigarh"/>
    <s v="Punjab"/>
    <s v="Delhi"/>
    <m/>
    <s v="RTO"/>
    <x v="0"/>
    <x v="2"/>
    <m/>
    <s v="Not Applicable"/>
  </r>
  <r>
    <x v="12"/>
    <x v="3"/>
    <s v="CUST_10012"/>
    <x v="1"/>
    <s v="TOP-SLK-M"/>
    <x v="0"/>
    <s v="Silk Blouse"/>
    <n v="2499"/>
    <n v="1"/>
    <n v="2499"/>
    <s v=""/>
    <n v="0"/>
    <s v="Credit Card"/>
    <x v="0"/>
    <s v="Mumbai"/>
    <s v="Maharashtra"/>
    <s v="Mumbai"/>
    <d v="2024-10-09T00:00:00"/>
    <s v="Delivered"/>
    <x v="0"/>
    <x v="2"/>
    <m/>
    <s v="Not Applicable"/>
  </r>
  <r>
    <x v="13"/>
    <x v="3"/>
    <s v="CUST_10013"/>
    <x v="0"/>
    <s v="BOT-SKT-S"/>
    <x v="2"/>
    <s v="Pleated Skirt"/>
    <n v="1799"/>
    <n v="2"/>
    <n v="3598"/>
    <s v="DIWALI20"/>
    <n v="20"/>
    <s v="UPI"/>
    <x v="2"/>
    <s v="Delhi"/>
    <s v="Delhi"/>
    <s v="Delhi"/>
    <d v="2024-10-11T00:00:00"/>
    <s v="Delivered"/>
    <x v="1"/>
    <x v="1"/>
    <d v="2024-10-28T00:00:00"/>
    <s v="Processed"/>
  </r>
  <r>
    <x v="14"/>
    <x v="3"/>
    <s v="CUST_10014"/>
    <x v="0"/>
    <s v="OUT-CRD-L"/>
    <x v="3"/>
    <s v="Knit Cardigan"/>
    <n v="2799"/>
    <n v="1"/>
    <n v="2799"/>
    <s v=""/>
    <n v="0"/>
    <s v="Debit Card"/>
    <x v="1"/>
    <s v="Bangalore"/>
    <s v="Karnataka"/>
    <s v="Bangalore"/>
    <d v="2024-10-12T00:00:00"/>
    <s v="Delivered"/>
    <x v="0"/>
    <x v="2"/>
    <m/>
    <s v="Not Applicable"/>
  </r>
  <r>
    <x v="15"/>
    <x v="4"/>
    <s v="CUST_10015"/>
    <x v="1"/>
    <s v="ACC-JWL-OS"/>
    <x v="4"/>
    <s v="Statement Earrings"/>
    <n v="599"/>
    <n v="4"/>
    <n v="2396"/>
    <s v=""/>
    <n v="0"/>
    <s v="COD"/>
    <x v="0"/>
    <s v="Noida"/>
    <s v="Uttar Pradesh"/>
    <s v="Delhi"/>
    <d v="2024-10-14T00:00:00"/>
    <s v="Delivered"/>
    <x v="1"/>
    <x v="6"/>
    <d v="2024-10-26T00:00:00"/>
    <s v="Processed"/>
  </r>
  <r>
    <x v="16"/>
    <x v="4"/>
    <s v="CUST_10016"/>
    <x v="0"/>
    <s v="TOP-CRP-XS"/>
    <x v="0"/>
    <s v="Crop Top"/>
    <n v="999"/>
    <n v="1"/>
    <n v="999"/>
    <s v="FIRST15"/>
    <n v="15"/>
    <s v="UPI"/>
    <x v="1"/>
    <s v="Gurgaon"/>
    <s v="Haryana"/>
    <s v="Delhi"/>
    <d v="2024-10-12T00:00:00"/>
    <s v="Delievered"/>
    <x v="0"/>
    <x v="2"/>
    <m/>
    <s v="Not Applicable"/>
  </r>
  <r>
    <x v="17"/>
    <x v="4"/>
    <s v="CUST_10017"/>
    <x v="0"/>
    <s v="DRS-MAX-M"/>
    <x v="1"/>
    <s v="Maxi Dress"/>
    <n v="2899"/>
    <n v="1"/>
    <n v="2899"/>
    <s v=""/>
    <n v="0"/>
    <s v="Credit Card"/>
    <x v="0"/>
    <s v="Indore"/>
    <s v="Madhya Pradesh"/>
    <s v="Mumbai"/>
    <d v="2024-10-14T00:00:00"/>
    <s v="Delivered"/>
    <x v="0"/>
    <x v="2"/>
    <m/>
    <s v="Not Applicable"/>
  </r>
  <r>
    <x v="18"/>
    <x v="4"/>
    <s v="CUST_10018"/>
    <x v="1"/>
    <s v="BOT-JGR-M"/>
    <x v="2"/>
    <s v="Joggers"/>
    <n v="1499"/>
    <n v="2"/>
    <n v="2998"/>
    <s v=""/>
    <n v="0"/>
    <s v="Wallet"/>
    <x v="2"/>
    <s v="Surat"/>
    <s v="Gujarat"/>
    <s v="Mumbai"/>
    <d v="2024-10-13T00:00:00"/>
    <s v="Delivered"/>
    <x v="1"/>
    <x v="1"/>
    <d v="2024-10-30T00:00:00"/>
    <s v="Processed"/>
  </r>
  <r>
    <x v="19"/>
    <x v="5"/>
    <s v="CUST_10019"/>
    <x v="0"/>
    <s v="OUT-VST-S"/>
    <x v="3"/>
    <s v="Puffer Vest"/>
    <n v="3999"/>
    <n v="1"/>
    <n v="3999"/>
    <s v="DIWALI20"/>
    <n v="20"/>
    <s v="COD"/>
    <x v="0"/>
    <s v="Patna"/>
    <s v="Bihar"/>
    <s v="Delhi"/>
    <m/>
    <s v="RTO"/>
    <x v="0"/>
    <x v="2"/>
    <m/>
    <s v="Not Applicable"/>
  </r>
  <r>
    <x v="20"/>
    <x v="5"/>
    <s v="CUST_10020"/>
    <x v="0"/>
    <s v="TOP-TUN-L"/>
    <x v="0"/>
    <s v="Tunic Top"/>
    <n v="1699"/>
    <n v="1"/>
    <n v="1699"/>
    <s v=""/>
    <n v="0"/>
    <s v="UPI"/>
    <x v="1"/>
    <s v="Bhopal"/>
    <s v="Madhya Pradesh"/>
    <s v="Mumbai"/>
    <d v="2024-10-15T00:00:00"/>
    <s v="Delivered"/>
    <x v="0"/>
    <x v="2"/>
    <m/>
    <s v="Not Applicable"/>
  </r>
  <r>
    <x v="21"/>
    <x v="5"/>
    <s v="CUST_10021"/>
    <x v="1"/>
    <s v="DRS-SHT-XS"/>
    <x v="1"/>
    <s v="Shirt Dress"/>
    <n v="2399"/>
    <n v="1"/>
    <n v="2399"/>
    <s v=""/>
    <n v="0"/>
    <s v="Credit Card"/>
    <x v="0"/>
    <s v="Nagpur"/>
    <s v="Maharashtra"/>
    <s v="Mumbai"/>
    <d v="2024-10-16T00:00:00"/>
    <s v="Delivered"/>
    <x v="1"/>
    <x v="3"/>
    <d v="2024-11-02T00:00:00"/>
    <s v="Processed"/>
  </r>
  <r>
    <x v="22"/>
    <x v="5"/>
    <s v="CUST_10022"/>
    <x v="0"/>
    <s v="ACC-BLT-M"/>
    <x v="4"/>
    <s v="Leather Belt"/>
    <n v="899"/>
    <n v="1"/>
    <n v="899"/>
    <s v="FLAT10"/>
    <n v="10"/>
    <s v="Debit Card"/>
    <x v="1"/>
    <s v="Coimbatore"/>
    <s v="Tamil Nadu"/>
    <s v="Bangalore"/>
    <d v="2024-10-17T00:00:00"/>
    <s v="Delivered"/>
    <x v="0"/>
    <x v="2"/>
    <m/>
    <s v="Not Applicable"/>
  </r>
  <r>
    <x v="23"/>
    <x v="6"/>
    <s v="CUST_10023"/>
    <x v="0"/>
    <s v="BOT-SHT-M"/>
    <x v="2"/>
    <s v="Cotton Shorts"/>
    <n v="1199"/>
    <n v="3"/>
    <n v="3597"/>
    <s v=""/>
    <n v="0"/>
    <s v="COD"/>
    <x v="2"/>
    <s v="Kochi"/>
    <s v="Kerala"/>
    <s v="Bangalore"/>
    <d v="2024-10-18T00:00:00"/>
    <s v="Delivered"/>
    <x v="1"/>
    <x v="4"/>
    <d v="2024-11-05T00:00:00"/>
    <s v="Processed"/>
  </r>
  <r>
    <x v="24"/>
    <x v="6"/>
    <s v="CUST_10024"/>
    <x v="0"/>
    <s v="TOP-PLO-L"/>
    <x v="0"/>
    <s v="Polo Shirt"/>
    <n v="1799"/>
    <n v="2"/>
    <n v="3598"/>
    <s v=""/>
    <n v="0"/>
    <s v="UPI"/>
    <x v="0"/>
    <s v="Vizag"/>
    <s v="Andhra Pradesh"/>
    <s v="Bangalore"/>
    <d v="2024-10-17T00:00:00"/>
    <s v="Delivered"/>
    <x v="0"/>
    <x v="2"/>
    <m/>
    <s v="Not Applicable"/>
  </r>
  <r>
    <x v="25"/>
    <x v="6"/>
    <s v="CUST_10025"/>
    <x v="0"/>
    <s v="DRS-WRK-M"/>
    <x v="1"/>
    <s v="Work Dress"/>
    <n v="2699"/>
    <n v="1"/>
    <n v="2699"/>
    <s v=""/>
    <n v="0"/>
    <s v="Credit Card"/>
    <x v="1"/>
    <s v="Thiruvananthapuram"/>
    <s v="Kerala"/>
    <s v="Bangalore"/>
    <d v="2024-10-18T00:00:00"/>
    <s v="Delivered"/>
    <x v="0"/>
    <x v="2"/>
    <m/>
    <s v="Not Applicable"/>
  </r>
  <r>
    <x v="26"/>
    <x v="6"/>
    <s v="CUST_10026"/>
    <x v="1"/>
    <s v="OUT-TRN-L"/>
    <x v="3"/>
    <s v="Trench Coat"/>
    <n v="4599"/>
    <n v="1"/>
    <n v="4599"/>
    <s v="FLAT10"/>
    <n v="10"/>
    <s v="Debit Card"/>
    <x v="0"/>
    <s v="Mysore"/>
    <s v="Karnataka"/>
    <s v="Bangalore"/>
    <d v="2024-10-19T00:00:00"/>
    <s v="Delivered"/>
    <x v="1"/>
    <x v="1"/>
    <d v="2024-11-08T00:00:00"/>
    <s v="Processed"/>
  </r>
  <r>
    <x v="27"/>
    <x v="7"/>
    <s v="CUST_10027"/>
    <x v="0"/>
    <s v="ACC-HAT-OS"/>
    <x v="4"/>
    <s v="Fedora Hat"/>
    <n v="1099"/>
    <n v="1"/>
    <n v="1099"/>
    <s v=""/>
    <n v="0"/>
    <s v="UPI"/>
    <x v="2"/>
    <s v="Vadodara"/>
    <s v="Gujarat"/>
    <s v="Mumbai"/>
    <d v="2024-10-20T00:00:00"/>
    <s v="Delivered"/>
    <x v="0"/>
    <x v="2"/>
    <m/>
    <s v="Not Applicable"/>
  </r>
  <r>
    <x v="28"/>
    <x v="7"/>
    <s v="CUST_10028"/>
    <x v="0"/>
    <s v="TOP-DNM-M"/>
    <x v="0"/>
    <s v="Denim Shirt"/>
    <n v="1899"/>
    <n v="1"/>
    <n v="1899"/>
    <s v=""/>
    <n v="0"/>
    <s v="COD"/>
    <x v="1"/>
    <s v="Rajkot"/>
    <s v="Gujarat"/>
    <s v="Mumbai"/>
    <m/>
    <s v="RTO"/>
    <x v="0"/>
    <x v="2"/>
    <m/>
    <s v="Not Applicable"/>
  </r>
  <r>
    <x v="29"/>
    <x v="7"/>
    <s v="CUST_10029"/>
    <x v="0"/>
    <s v="BOT-CRG-L"/>
    <x v="2"/>
    <s v="Cargo Pants"/>
    <n v="2199"/>
    <n v="1"/>
    <n v="2199"/>
    <s v="DIWALI20"/>
    <n v="20"/>
    <s v="Credit Card"/>
    <x v="0"/>
    <s v="Kanpur"/>
    <s v="Uttar Pradesh"/>
    <s v="Delhi"/>
    <d v="2024-10-20T00:00:00"/>
    <s v="Delivered"/>
    <x v="0"/>
    <x v="2"/>
    <m/>
    <s v="Not Applicable"/>
  </r>
  <r>
    <x v="30"/>
    <x v="7"/>
    <s v="CUST_10030"/>
    <x v="1"/>
    <s v="DRS-EVE-S"/>
    <x v="1"/>
    <s v="Evening Gown"/>
    <n v="5499"/>
    <n v="1"/>
    <n v="5499"/>
    <s v=""/>
    <n v="0"/>
    <s v="Credit Card"/>
    <x v="1"/>
    <s v="Mumbai"/>
    <s v="Maharashtra"/>
    <s v="Mumbai"/>
    <d v="2024-10-21T00:00:00"/>
    <s v="Delivered"/>
    <x v="1"/>
    <x v="1"/>
    <d v="2024-11-10T00:00:00"/>
    <s v="Processed"/>
  </r>
  <r>
    <x v="31"/>
    <x v="8"/>
    <s v="CUST_10031"/>
    <x v="0"/>
    <s v="TOP-BAS-M"/>
    <x v="0"/>
    <s v="Basic Tank"/>
    <n v="899"/>
    <n v="2"/>
    <n v="1798"/>
    <s v=""/>
    <n v="0"/>
    <s v="UPI"/>
    <x v="0"/>
    <s v="Delhi"/>
    <s v="Delhi"/>
    <s v="Delhi"/>
    <d v="2024-10-14T00:00:00"/>
    <s v="Delivered"/>
    <x v="0"/>
    <x v="2"/>
    <m/>
    <s v="Not Applicable"/>
  </r>
  <r>
    <x v="32"/>
    <x v="8"/>
    <s v="CUST_10032"/>
    <x v="0"/>
    <s v="OUT-WOL-L"/>
    <x v="3"/>
    <s v="Wool Coat"/>
    <n v="6999"/>
    <n v="1"/>
    <n v="6999"/>
    <s v="FIRST15"/>
    <n v="15"/>
    <s v="Debit Card"/>
    <x v="2"/>
    <s v="Kolkata"/>
    <s v="West Bengal"/>
    <s v="Delhi"/>
    <d v="2024-10-16T00:00:00"/>
    <s v="Delivered"/>
    <x v="1"/>
    <x v="3"/>
    <d v="2024-11-05T00:00:00"/>
    <s v="Processed"/>
  </r>
  <r>
    <x v="33"/>
    <x v="8"/>
    <s v="CUST_10033"/>
    <x v="1"/>
    <s v="ACC-WCH-OS"/>
    <x v="4"/>
    <s v="Fashion Watch"/>
    <n v="2999"/>
    <n v="1"/>
    <n v="2999"/>
    <s v=""/>
    <n v="0"/>
    <s v="Credit Card"/>
    <x v="1"/>
    <s v="Chennai"/>
    <s v="Tamil Nadu"/>
    <s v="Bangalore"/>
    <d v="2024-10-15T00:00:00"/>
    <s v="Delivered"/>
    <x v="0"/>
    <x v="2"/>
    <m/>
    <s v="Not Applicable"/>
  </r>
  <r>
    <x v="34"/>
    <x v="8"/>
    <s v="CUST_10034"/>
    <x v="0"/>
    <s v="BOT-DNM-S"/>
    <x v="2"/>
    <s v="Denim Shorts"/>
    <n v="1599"/>
    <n v="1"/>
    <n v="1599"/>
    <s v=""/>
    <n v="0"/>
    <s v="COD"/>
    <x v="0"/>
    <s v="Hyderabad"/>
    <s v="Telangana"/>
    <s v="Bangalore"/>
    <d v="2024-10-17T00:00:00"/>
    <s v="Delivered"/>
    <x v="1"/>
    <x v="1"/>
    <d v="2024-11-08T00:00:00"/>
    <s v="Processed"/>
  </r>
  <r>
    <x v="35"/>
    <x v="9"/>
    <s v="CUST_10035"/>
    <x v="0"/>
    <s v="DRS-SUN-M"/>
    <x v="1"/>
    <s v="Sundress"/>
    <n v="1999"/>
    <n v="1"/>
    <n v="1999"/>
    <s v="DIWALI20"/>
    <n v="20"/>
    <s v="Wallet"/>
    <x v="1"/>
    <s v="Pune"/>
    <s v="Maharashtra"/>
    <s v="Mumbai"/>
    <d v="2024-10-16T00:00:00"/>
    <s v="Delivered"/>
    <x v="0"/>
    <x v="2"/>
    <m/>
    <s v="Not Applicable"/>
  </r>
  <r>
    <x v="36"/>
    <x v="9"/>
    <s v="CUST_10036"/>
    <x v="0"/>
    <s v="TOP-RFL-S"/>
    <x v="0"/>
    <s v="Ruffle Top"/>
    <n v="1799"/>
    <n v="1"/>
    <n v="1799"/>
    <s v=""/>
    <n v="0"/>
    <s v="UPI"/>
    <x v="2"/>
    <s v="Ahmedabad"/>
    <s v="Gujarat"/>
    <s v="Mumbai"/>
    <d v="2024-10-17T00:00:00"/>
    <s v="Delivered"/>
    <x v="1"/>
    <x v="4"/>
    <d v="2024-11-12T00:00:00"/>
    <s v="Processed"/>
  </r>
  <r>
    <x v="37"/>
    <x v="9"/>
    <s v="CUST_10037"/>
    <x v="1"/>
    <s v="OUT-LTH-M"/>
    <x v="3"/>
    <s v="Leather Jacket"/>
    <n v="7999"/>
    <n v="1"/>
    <n v="7999"/>
    <s v=""/>
    <n v="0"/>
    <s v="Credit Card"/>
    <x v="0"/>
    <s v="Jaipur"/>
    <s v="Rajasthan"/>
    <s v="Delhi"/>
    <d v="2024-10-18T00:00:00"/>
    <s v="Delivered"/>
    <x v="0"/>
    <x v="2"/>
    <m/>
    <s v="Not Applicable"/>
  </r>
  <r>
    <x v="38"/>
    <x v="9"/>
    <s v="CUST_10038"/>
    <x v="0"/>
    <s v="ACC-SNG-OS"/>
    <x v="4"/>
    <s v="Sunglasses"/>
    <n v="1499"/>
    <n v="1"/>
    <n v="1499"/>
    <s v="FLAT10"/>
    <n v="10"/>
    <s v="Debit Card"/>
    <x v="1"/>
    <s v="Lucknow"/>
    <s v="Uttar Pradesh"/>
    <s v="Delhi"/>
    <d v="2024-10-17T00:00:00"/>
    <s v="Delivered"/>
    <x v="0"/>
    <x v="2"/>
    <m/>
    <s v="Not Applicable"/>
  </r>
  <r>
    <x v="39"/>
    <x v="10"/>
    <s v="CUST_10039"/>
    <x v="0"/>
    <s v="BOT-PLZ-L"/>
    <x v="2"/>
    <s v="Palazzo Pants"/>
    <n v="1699"/>
    <n v="1"/>
    <n v="1699"/>
    <s v=""/>
    <n v="0"/>
    <s v="COD"/>
    <x v="0"/>
    <s v="Bangalore"/>
    <s v="Karnataka"/>
    <s v="Bangalore"/>
    <d v="2024-10-19T00:00:00"/>
    <s v="Delivered"/>
    <x v="1"/>
    <x v="1"/>
    <d v="2024-11-10T00:00:00"/>
    <s v="Processed"/>
  </r>
  <r>
    <x v="40"/>
    <x v="10"/>
    <s v="CUST_10040"/>
    <x v="0"/>
    <s v="DRS-BDC-S"/>
    <x v="1"/>
    <s v="Bodycon Dress"/>
    <n v="2299"/>
    <n v="1"/>
    <n v="2299"/>
    <s v=""/>
    <n v="0"/>
    <s v="UPI"/>
    <x v="2"/>
    <s v="Mumbai"/>
    <s v="Maharashtra"/>
    <s v="Mumbai"/>
    <d v="2024-10-18T00:00:00"/>
    <s v="Delivered"/>
    <x v="0"/>
    <x v="2"/>
    <m/>
    <s v="Not Applicable"/>
  </r>
  <r>
    <x v="41"/>
    <x v="10"/>
    <s v="CUST_10041"/>
    <x v="1"/>
    <s v="TOP-OFF-M"/>
    <x v="0"/>
    <s v="Off-Shoulder Top"/>
    <n v="1599"/>
    <n v="2"/>
    <n v="3198"/>
    <s v="DIWALI20"/>
    <n v="20"/>
    <s v="Credit Card"/>
    <x v="1"/>
    <s v="Delhi"/>
    <s v="Delhi"/>
    <s v="Delhi"/>
    <d v="2024-10-17T00:00:00"/>
    <s v="Delivered"/>
    <x v="1"/>
    <x v="5"/>
    <d v="2024-11-08T00:00:00"/>
    <s v="Processed"/>
  </r>
  <r>
    <x v="42"/>
    <x v="10"/>
    <s v="CUST_10042"/>
    <x v="0"/>
    <s v="OUT-DNM-L"/>
    <x v="3"/>
    <s v="Denim Vest"/>
    <n v="2499"/>
    <n v="1"/>
    <n v="2499"/>
    <s v=""/>
    <n v="0"/>
    <s v="Wallet"/>
    <x v="0"/>
    <s v="Chandigarh"/>
    <s v="Punjab"/>
    <s v="Delhi"/>
    <d v="2024-10-20T00:00:00"/>
    <s v="Delivered"/>
    <x v="0"/>
    <x v="2"/>
    <m/>
    <s v="Not Applicable"/>
  </r>
  <r>
    <x v="43"/>
    <x v="11"/>
    <s v="CUST_10043"/>
    <x v="0"/>
    <s v="ACC-HBG-OS"/>
    <x v="4"/>
    <s v="Hobo Bag"/>
    <n v="1899"/>
    <n v="1"/>
    <n v="1899"/>
    <s v=""/>
    <n v="0"/>
    <s v="Debit Card"/>
    <x v="2"/>
    <s v="Noida"/>
    <s v="Uttar Pradesh"/>
    <s v="Delhi"/>
    <d v="2024-10-21T00:00:00"/>
    <s v="Delivered"/>
    <x v="1"/>
    <x v="6"/>
    <d v="2024-11-12T00:00:00"/>
    <s v="Processed"/>
  </r>
  <r>
    <x v="44"/>
    <x v="11"/>
    <s v="CUST_10044"/>
    <x v="0"/>
    <s v="BOT-CHP-M"/>
    <x v="2"/>
    <s v="Chino Pants"/>
    <n v="1999"/>
    <n v="1"/>
    <n v="1999"/>
    <s v="FIRST15"/>
    <n v="15"/>
    <s v="UPI"/>
    <x v="1"/>
    <s v="Gurgaon"/>
    <s v="Haryana"/>
    <s v="Delhi"/>
    <d v="2024-10-19T00:00:00"/>
    <s v="Delivered"/>
    <x v="0"/>
    <x v="2"/>
    <m/>
    <s v="Not Applicable"/>
  </r>
  <r>
    <x v="45"/>
    <x v="11"/>
    <s v="CUST_10045"/>
    <x v="1"/>
    <s v="DRS-WRP-M"/>
    <x v="1"/>
    <s v="Wrap Dress"/>
    <n v="2599"/>
    <n v="1"/>
    <n v="2599"/>
    <s v=""/>
    <n v="0"/>
    <s v="Credit Card"/>
    <x v="0"/>
    <s v="Indore"/>
    <s v="Madhya Pradesh"/>
    <s v="Mumbai"/>
    <d v="2024-10-20T00:00:00"/>
    <s v="Delivered"/>
    <x v="0"/>
    <x v="2"/>
    <m/>
    <s v="Not Applicable"/>
  </r>
  <r>
    <x v="46"/>
    <x v="11"/>
    <s v="CUST_10046"/>
    <x v="0"/>
    <s v="TOP-STR-S"/>
    <x v="0"/>
    <s v="Striped Tee"/>
    <n v="1299"/>
    <n v="1"/>
    <n v="1299"/>
    <s v=""/>
    <n v="0"/>
    <s v="COD"/>
    <x v="2"/>
    <s v="Surat"/>
    <s v="Gujarat"/>
    <s v="Mumbai"/>
    <m/>
    <s v="RTO"/>
    <x v="0"/>
    <x v="2"/>
    <m/>
    <s v="Not Applicable"/>
  </r>
  <r>
    <x v="47"/>
    <x v="12"/>
    <s v="CUST_10047"/>
    <x v="0"/>
    <s v="OUT-PRK-XL"/>
    <x v="3"/>
    <s v="Parka Jacket"/>
    <n v="5999"/>
    <n v="1"/>
    <n v="5999"/>
    <s v="DIWALI20"/>
    <n v="20"/>
    <s v="Credit Card"/>
    <x v="1"/>
    <s v="Patna"/>
    <s v="Bihar"/>
    <s v="Delhi"/>
    <d v="2024-10-22T00:00:00"/>
    <s v="Delivered"/>
    <x v="1"/>
    <x v="1"/>
    <d v="2024-11-15T00:00:00"/>
    <s v="Processed"/>
  </r>
  <r>
    <x v="48"/>
    <x v="12"/>
    <s v="CUST_10048"/>
    <x v="0"/>
    <s v="ACC-EAR-OS"/>
    <x v="4"/>
    <s v="Hoop Earrings"/>
    <n v="799"/>
    <n v="2"/>
    <n v="1598"/>
    <s v=""/>
    <n v="0"/>
    <s v="UPI"/>
    <x v="0"/>
    <s v="Bhopal"/>
    <s v="Madhya Pradesh"/>
    <s v="Mumbai"/>
    <d v="2024-10-20T00:00:00"/>
    <s v="Delivered"/>
    <x v="0"/>
    <x v="2"/>
    <m/>
    <s v="Not Applicable"/>
  </r>
  <r>
    <x v="49"/>
    <x v="12"/>
    <s v="CUST_10049"/>
    <x v="1"/>
    <s v="BOT-LGN-S"/>
    <x v="2"/>
    <s v="Leggings"/>
    <n v="999"/>
    <n v="2"/>
    <n v="1998"/>
    <s v=""/>
    <n v="0"/>
    <s v="Wallet"/>
    <x v="1"/>
    <s v="Nagpur"/>
    <s v="Maharashtra"/>
    <s v="Mumbai"/>
    <d v="2024-10-19T00:00:00"/>
    <s v="Delivered"/>
    <x v="0"/>
    <x v="2"/>
    <m/>
    <s v="Not Applicable"/>
  </r>
  <r>
    <x v="50"/>
    <x v="12"/>
    <s v="CUST_10050"/>
    <x v="0"/>
    <s v="DRS-CTN-L"/>
    <x v="1"/>
    <s v="Cotton Dress"/>
    <n v="1899"/>
    <n v="1"/>
    <n v="1899"/>
    <s v=""/>
    <n v="0"/>
    <s v="Debit Card"/>
    <x v="2"/>
    <s v="Coimbatore"/>
    <s v="Tamil Nadu"/>
    <s v="Bangalore"/>
    <d v="2024-10-22T00:00:00"/>
    <s v="Delivered"/>
    <x v="1"/>
    <x v="3"/>
    <d v="2024-11-14T00:00:00"/>
    <s v="Processed"/>
  </r>
  <r>
    <x v="51"/>
    <x v="13"/>
    <s v="CUST_10051"/>
    <x v="0"/>
    <s v="TOP-LCE-M"/>
    <x v="0"/>
    <s v="Lace Top"/>
    <n v="1699"/>
    <n v="1"/>
    <n v="1699"/>
    <s v="FLAT10"/>
    <n v="10"/>
    <s v="Credit Card"/>
    <x v="0"/>
    <s v="Kochi"/>
    <s v="Kerala"/>
    <s v="Bangalore"/>
    <d v="2024-10-21T00:00:00"/>
    <s v="Delivered"/>
    <x v="0"/>
    <x v="2"/>
    <m/>
    <s v="Not Applicable"/>
  </r>
  <r>
    <x v="52"/>
    <x v="13"/>
    <s v="CUST_10052"/>
    <x v="0"/>
    <s v="OUT-BOM-M"/>
    <x v="3"/>
    <s v="Bomber Jacket"/>
    <n v="3799"/>
    <n v="1"/>
    <n v="3799"/>
    <s v=""/>
    <n v="0"/>
    <s v="UPI"/>
    <x v="1"/>
    <s v="Vizag"/>
    <s v="Andhra Pradesh"/>
    <s v="Bangalore"/>
    <d v="2024-10-23T00:00:00"/>
    <s v="Delivered"/>
    <x v="1"/>
    <x v="1"/>
    <d v="2024-11-18T00:00:00"/>
    <s v="Processed"/>
  </r>
  <r>
    <x v="53"/>
    <x v="13"/>
    <s v="CUST_10053"/>
    <x v="1"/>
    <s v="ACC-NCK-OS"/>
    <x v="4"/>
    <s v="Pendant Necklace"/>
    <n v="1299"/>
    <n v="1"/>
    <n v="1299"/>
    <s v=""/>
    <n v="0"/>
    <s v="COD"/>
    <x v="2"/>
    <s v="Thiruvananthapuram"/>
    <s v="Kerala"/>
    <s v="Bangalore"/>
    <d v="2024-10-22T00:00:00"/>
    <s v="Delivered"/>
    <x v="0"/>
    <x v="2"/>
    <m/>
    <s v="Not Applicable"/>
  </r>
  <r>
    <x v="54"/>
    <x v="13"/>
    <s v="CUST_10054"/>
    <x v="0"/>
    <s v="BOT-WID-M"/>
    <x v="2"/>
    <s v="Wide Leg Pants"/>
    <n v="2099"/>
    <n v="1"/>
    <n v="2099"/>
    <s v="DIWALI20"/>
    <n v="20"/>
    <s v="Credit Card"/>
    <x v="0"/>
    <s v="Mysore"/>
    <s v="Karnataka"/>
    <s v="Bangalore"/>
    <d v="2024-10-24T00:00:00"/>
    <s v="Delivered"/>
    <x v="0"/>
    <x v="2"/>
    <m/>
    <s v="Not Applicable"/>
  </r>
  <r>
    <x v="55"/>
    <x v="14"/>
    <s v="CUST_10055"/>
    <x v="0"/>
    <s v="DRS-TIR-S"/>
    <x v="1"/>
    <s v="Tiered Dress"/>
    <n v="2799"/>
    <n v="1"/>
    <n v="2799"/>
    <s v=""/>
    <n v="0"/>
    <s v="Debit Card"/>
    <x v="1"/>
    <s v="Vadodara"/>
    <s v="Gujarat"/>
    <s v="Mumbai"/>
    <d v="2024-10-23T00:00:00"/>
    <s v="Delivered"/>
    <x v="1"/>
    <x v="4"/>
    <d v="2024-11-16T00:00:00"/>
    <s v="Processed"/>
  </r>
  <r>
    <x v="56"/>
    <x v="14"/>
    <s v="CUST_10056"/>
    <x v="0"/>
    <s v="TOP-PEP-M"/>
    <x v="0"/>
    <s v="Peplum Top"/>
    <n v="1499"/>
    <n v="1"/>
    <n v="1499"/>
    <s v=""/>
    <n v="0"/>
    <s v="Wallet"/>
    <x v="0"/>
    <s v="Rajkot"/>
    <s v="Gujarat"/>
    <s v="Mumbai"/>
    <d v="2024-10-22T00:00:00"/>
    <s v="Delivered"/>
    <x v="0"/>
    <x v="2"/>
    <m/>
    <s v="Not Applicable"/>
  </r>
  <r>
    <x v="57"/>
    <x v="14"/>
    <s v="CUST_10057"/>
    <x v="1"/>
    <s v="OUT-QTD-L"/>
    <x v="3"/>
    <s v="Quilted Jacket"/>
    <n v="4499"/>
    <n v="1"/>
    <n v="4499"/>
    <s v="FIRST15"/>
    <n v="15"/>
    <s v="UPI"/>
    <x v="2"/>
    <s v="Kanpur"/>
    <s v="Uttar Pradesh"/>
    <s v="Delhi"/>
    <d v="2024-10-25T00:00:00"/>
    <s v="Delivered"/>
    <x v="1"/>
    <x v="5"/>
    <d v="2024-11-20T00:00:00"/>
    <s v="Processed"/>
  </r>
  <r>
    <x v="58"/>
    <x v="14"/>
    <s v="CUST_10058"/>
    <x v="0"/>
    <s v="ACC-BRC-OS"/>
    <x v="4"/>
    <s v="Charm Bracelet"/>
    <n v="899"/>
    <n v="1"/>
    <n v="899"/>
    <s v=""/>
    <n v="0"/>
    <s v="Credit Card"/>
    <x v="1"/>
    <s v="Mumbai"/>
    <s v="Maharashtra"/>
    <s v="Mumbai"/>
    <d v="2024-10-23T00:00:00"/>
    <s v="Delivered"/>
    <x v="0"/>
    <x v="2"/>
    <m/>
    <s v="Not Applicable"/>
  </r>
  <r>
    <x v="59"/>
    <x v="15"/>
    <s v="CUST_10059"/>
    <x v="0"/>
    <s v="BOT-CRP-S"/>
    <x v="2"/>
    <s v="Cropped Pants"/>
    <n v="1799"/>
    <n v="1"/>
    <n v="1799"/>
    <s v=""/>
    <n v="0"/>
    <s v="COD"/>
    <x v="0"/>
    <s v="Delhi"/>
    <s v="Delhi"/>
    <s v="Delhi"/>
    <m/>
    <s v="RTO"/>
    <x v="0"/>
    <x v="2"/>
    <m/>
    <s v="Not Applicable"/>
  </r>
  <r>
    <x v="60"/>
    <x v="15"/>
    <s v="CUST_10060"/>
    <x v="0"/>
    <s v="DRS-SLP-M"/>
    <x v="1"/>
    <s v="Slip Dress"/>
    <n v="2199"/>
    <n v="1"/>
    <n v="2199"/>
    <s v="DIWALI20"/>
    <n v="20"/>
    <s v="Debit Card"/>
    <x v="2"/>
    <s v="Kolkata"/>
    <s v="West Bengal"/>
    <s v="Delhi"/>
    <d v="2024-10-26T00:00:00"/>
    <s v="Delivered"/>
    <x v="1"/>
    <x v="1"/>
    <d v="2024-11-22T00:00:00"/>
    <s v="Processed"/>
  </r>
  <r>
    <x v="61"/>
    <x v="15"/>
    <s v="CUST_10061"/>
    <x v="1"/>
    <s v="TOP-HLT-L"/>
    <x v="0"/>
    <s v="Halter Top"/>
    <n v="1399"/>
    <n v="1"/>
    <n v="1399"/>
    <s v=""/>
    <n v="0"/>
    <s v="UPI"/>
    <x v="1"/>
    <s v="Chennai"/>
    <s v="Tamil Nadu"/>
    <s v="Bangalore"/>
    <d v="2024-10-24T00:00:00"/>
    <s v="Delivered"/>
    <x v="0"/>
    <x v="2"/>
    <m/>
    <s v="Not Applicable"/>
  </r>
  <r>
    <x v="62"/>
    <x v="15"/>
    <s v="CUST_10062"/>
    <x v="0"/>
    <s v="OUT-FLC-M"/>
    <x v="3"/>
    <s v="Fleece Jacket"/>
    <n v="2999"/>
    <n v="1"/>
    <n v="2999"/>
    <s v=""/>
    <n v="0"/>
    <s v="Credit Card"/>
    <x v="0"/>
    <s v="Hyderabad"/>
    <s v="Telangana"/>
    <s v="Bangalore"/>
    <d v="2024-10-27T00:00:00"/>
    <s v="Delivered"/>
    <x v="1"/>
    <x v="3"/>
    <d v="2024-11-24T00:00:00"/>
    <s v="Processed"/>
  </r>
  <r>
    <x v="63"/>
    <x v="16"/>
    <s v="CUST_10063"/>
    <x v="0"/>
    <s v="ACC-RNG-OS"/>
    <x v="4"/>
    <s v="Cocktail Ring"/>
    <n v="699"/>
    <n v="2"/>
    <n v="1398"/>
    <s v="FLAT10"/>
    <n v="10"/>
    <s v="Wallet"/>
    <x v="2"/>
    <s v="Pune"/>
    <s v="Maharashtra"/>
    <s v="Mumbai"/>
    <d v="2024-10-25T00:00:00"/>
    <s v="Delivered"/>
    <x v="0"/>
    <x v="2"/>
    <m/>
    <s v="Not Applicable"/>
  </r>
  <r>
    <x v="64"/>
    <x v="16"/>
    <s v="CUST_10064"/>
    <x v="0"/>
    <s v="BOT-SKN-M"/>
    <x v="2"/>
    <s v="Skinny Jeans"/>
    <n v="2199"/>
    <n v="1"/>
    <n v="2199"/>
    <s v=""/>
    <n v="0"/>
    <s v="COD"/>
    <x v="1"/>
    <s v="Ahmedabad"/>
    <s v="Gujarat"/>
    <s v="Mumbai"/>
    <d v="2024-10-28T00:00:00"/>
    <s v="Delivered"/>
    <x v="1"/>
    <x v="1"/>
    <d v="2024-11-25T00:00:00"/>
    <s v="Processed"/>
  </r>
  <r>
    <x v="65"/>
    <x v="16"/>
    <s v="CUST_10065"/>
    <x v="1"/>
    <s v="DRS-KNT-S"/>
    <x v="1"/>
    <s v="Knit Dress"/>
    <n v="2499"/>
    <n v="1"/>
    <n v="2499"/>
    <s v=""/>
    <n v="0"/>
    <s v="Credit Card"/>
    <x v="0"/>
    <s v="Jaipur"/>
    <s v="Rajasthan"/>
    <s v="Delhi"/>
    <d v="2024-10-26T00:00:00"/>
    <s v="Delivered"/>
    <x v="0"/>
    <x v="2"/>
    <m/>
    <s v="Not Applicable"/>
  </r>
  <r>
    <x v="66"/>
    <x v="16"/>
    <s v="CUST_10066"/>
    <x v="0"/>
    <s v="TOP-EMB-M"/>
    <x v="0"/>
    <s v="Embroidered Top"/>
    <n v="1899"/>
    <n v="1"/>
    <n v="1899"/>
    <s v="DIWALI20"/>
    <n v="20"/>
    <s v="UPI"/>
    <x v="2"/>
    <s v="Lucknow"/>
    <s v="Uttar Pradesh"/>
    <s v="Delhi"/>
    <d v="2024-10-27T00:00:00"/>
    <s v="Delivered"/>
    <x v="1"/>
    <x v="4"/>
    <d v="2024-11-20T00:00:00"/>
    <s v="Processed"/>
  </r>
  <r>
    <x v="67"/>
    <x v="17"/>
    <s v="CUST_10067"/>
    <x v="0"/>
    <s v="OUT-SHR-L"/>
    <x v="3"/>
    <s v="Shrug"/>
    <n v="1299"/>
    <n v="1"/>
    <n v="1299"/>
    <s v=""/>
    <n v="0"/>
    <s v="Debit Card"/>
    <x v="1"/>
    <s v="Bangalore"/>
    <s v="Karnataka"/>
    <s v="Bangalore"/>
    <d v="2024-10-28T00:00:00"/>
    <s v="Delivered"/>
    <x v="0"/>
    <x v="2"/>
    <m/>
    <s v="Not Applicable"/>
  </r>
  <r>
    <x v="68"/>
    <x v="17"/>
    <s v="CUST_10068"/>
    <x v="0"/>
    <s v="ACC-CLT-OS"/>
    <x v="4"/>
    <s v="Clutch Bag"/>
    <n v="1599"/>
    <n v="1"/>
    <n v="1599"/>
    <s v=""/>
    <n v="0"/>
    <s v="Credit Card"/>
    <x v="0"/>
    <s v="Mumbai"/>
    <s v="Maharashtra"/>
    <s v="Mumbai"/>
    <d v="2024-10-27T00:00:00"/>
    <s v="Delivered"/>
    <x v="1"/>
    <x v="6"/>
    <d v="2024-11-22T00:00:00"/>
    <s v="Processed"/>
  </r>
  <r>
    <x v="69"/>
    <x v="17"/>
    <s v="CUST_10069"/>
    <x v="1"/>
    <s v="BOT-FLR-S"/>
    <x v="2"/>
    <s v="Flared Jeans"/>
    <n v="2099"/>
    <n v="1"/>
    <n v="2099"/>
    <s v="FIRST15"/>
    <n v="15"/>
    <s v="UPI"/>
    <x v="2"/>
    <s v="Delhi"/>
    <s v="Delhi"/>
    <s v="Delhi"/>
    <d v="2024-10-29T00:00:00"/>
    <s v="Delivered"/>
    <x v="0"/>
    <x v="2"/>
    <m/>
    <s v="Not Applicable"/>
  </r>
  <r>
    <x v="70"/>
    <x v="17"/>
    <s v="CUST_10070"/>
    <x v="0"/>
    <s v="DRS-PIN-M"/>
    <x v="1"/>
    <s v="Pinafore Dress"/>
    <n v="2299"/>
    <n v="1"/>
    <n v="2299"/>
    <s v=""/>
    <n v="0"/>
    <s v="COD"/>
    <x v="1"/>
    <s v="Chandigarh"/>
    <s v="Punjab"/>
    <s v="Delhi"/>
    <m/>
    <s v="RTO"/>
    <x v="0"/>
    <x v="2"/>
    <m/>
    <s v="Not Applicable"/>
  </r>
  <r>
    <x v="71"/>
    <x v="18"/>
    <s v="CUST_10071"/>
    <x v="0"/>
    <s v="TOP-CRW-L"/>
    <x v="0"/>
    <s v="Crew Neck Tee"/>
    <n v="1199"/>
    <n v="2"/>
    <n v="2398"/>
    <s v=""/>
    <n v="0"/>
    <s v="Wallet"/>
    <x v="0"/>
    <s v="Noida"/>
    <s v="Uttar Pradesh"/>
    <s v="Delhi"/>
    <d v="2024-10-28T00:00:00"/>
    <s v="Delivered"/>
    <x v="0"/>
    <x v="2"/>
    <m/>
    <s v="Not Applicable"/>
  </r>
  <r>
    <x v="72"/>
    <x v="18"/>
    <s v="CUST_10072"/>
    <x v="0"/>
    <s v="OUT-CDG-M"/>
    <x v="3"/>
    <s v="Cardigan"/>
    <n v="2599"/>
    <n v="1"/>
    <n v="2599"/>
    <s v="DIWALI20"/>
    <n v="20"/>
    <s v="Credit Card"/>
    <x v="2"/>
    <s v="Gurgaon"/>
    <s v="Haryana"/>
    <s v="Delhi"/>
    <d v="2024-10-30T00:00:00"/>
    <s v="Delivered"/>
    <x v="1"/>
    <x v="1"/>
    <d v="2024-11-26T00:00:00"/>
    <s v="Processed"/>
  </r>
  <r>
    <x v="73"/>
    <x v="18"/>
    <s v="CUST_10073"/>
    <x v="1"/>
    <s v="ACC-SCR-OS"/>
    <x v="4"/>
    <s v="Hair Scrunchie"/>
    <n v="299"/>
    <n v="5"/>
    <n v="1495"/>
    <s v=""/>
    <n v="0"/>
    <s v="UPI"/>
    <x v="1"/>
    <s v="Indore"/>
    <s v="Madhya Pradesh"/>
    <s v="Mumbai"/>
    <d v="2024-10-27T00:00:00"/>
    <s v="Delivered"/>
    <x v="0"/>
    <x v="2"/>
    <m/>
    <s v="Not Applicable"/>
  </r>
  <r>
    <x v="74"/>
    <x v="18"/>
    <s v="CUST_10074"/>
    <x v="0"/>
    <s v="BOT-PPR-M"/>
    <x v="2"/>
    <s v="Paper Bag Pants"/>
    <n v="1899"/>
    <n v="1"/>
    <n v="1899"/>
    <s v=""/>
    <n v="0"/>
    <s v="Debit Card"/>
    <x v="0"/>
    <s v="Surat"/>
    <s v="Gujarat"/>
    <s v="Mumbai"/>
    <d v="2024-10-30T00:00:00"/>
    <s v="Delivered"/>
    <x v="1"/>
    <x v="5"/>
    <d v="2024-11-28T00:00:00"/>
    <s v="Processed"/>
  </r>
  <r>
    <x v="75"/>
    <x v="19"/>
    <s v="CUST_10075"/>
    <x v="0"/>
    <s v="DRS-SMK-S"/>
    <x v="1"/>
    <s v="Smocked Dress"/>
    <n v="2199"/>
    <n v="1"/>
    <n v="2199"/>
    <s v=""/>
    <n v="0"/>
    <s v="Credit Card"/>
    <x v="2"/>
    <s v="Patna"/>
    <s v="Bihar"/>
    <s v="Delhi"/>
    <d v="2024-10-31T00:00:00"/>
    <s v="Delivered"/>
    <x v="0"/>
    <x v="2"/>
    <m/>
    <s v="Not Applicable"/>
  </r>
  <r>
    <x v="76"/>
    <x v="19"/>
    <s v="CUST_10076"/>
    <x v="0"/>
    <s v="TOP-BTN-M"/>
    <x v="0"/>
    <s v="Button-Down Shirt"/>
    <n v="1799"/>
    <n v="1"/>
    <n v="1799"/>
    <s v="FLAT10"/>
    <n v="10"/>
    <s v="COD"/>
    <x v="1"/>
    <s v="Bhopal"/>
    <s v="Madhya Pradesh"/>
    <s v="Mumbai"/>
    <d v="2024-10-29T00:00:00"/>
    <s v="Delivered"/>
    <x v="1"/>
    <x v="3"/>
    <d v="2024-11-25T00:00:00"/>
    <s v="Processed"/>
  </r>
  <r>
    <x v="77"/>
    <x v="19"/>
    <s v="CUST_10077"/>
    <x v="1"/>
    <s v="OUT-VLV-L"/>
    <x v="3"/>
    <s v="Velvet Blazer"/>
    <n v="4999"/>
    <n v="1"/>
    <n v="4999"/>
    <s v=""/>
    <n v="0"/>
    <s v="UPI"/>
    <x v="0"/>
    <s v="Nagpur"/>
    <s v="Maharashtra"/>
    <s v="Mumbai"/>
    <d v="2024-11-01T00:00:00"/>
    <s v="Delivered"/>
    <x v="0"/>
    <x v="2"/>
    <m/>
    <s v="Not Applicable"/>
  </r>
  <r>
    <x v="78"/>
    <x v="19"/>
    <s v="CUST_10078"/>
    <x v="0"/>
    <s v="ACC-TOT-OS"/>
    <x v="4"/>
    <s v="Canvas Tote"/>
    <n v="999"/>
    <n v="1"/>
    <n v="999"/>
    <s v=""/>
    <n v="0"/>
    <s v="Wallet"/>
    <x v="2"/>
    <s v="Coimbatore"/>
    <s v="Tamil Nadu"/>
    <s v="Bangalore"/>
    <d v="2024-10-30T00:00:00"/>
    <s v="Delivered"/>
    <x v="1"/>
    <x v="1"/>
    <d v="2024-11-28T00:00:00"/>
    <s v="Processed"/>
  </r>
  <r>
    <x v="79"/>
    <x v="20"/>
    <s v="CUST_10079"/>
    <x v="0"/>
    <s v="BOT-CRG-S"/>
    <x v="2"/>
    <s v="Cargo Shorts"/>
    <n v="1499"/>
    <n v="1"/>
    <n v="1499"/>
    <s v="DIWALI20"/>
    <n v="20"/>
    <s v="Credit Card"/>
    <x v="1"/>
    <s v="Kochi"/>
    <s v="Kerala"/>
    <s v="Bangalore"/>
    <d v="2024-10-31T00:00:00"/>
    <s v="Delivered"/>
    <x v="0"/>
    <x v="2"/>
    <m/>
    <s v="Not Applicable"/>
  </r>
  <r>
    <x v="80"/>
    <x v="20"/>
    <s v="CUST_10080"/>
    <x v="0"/>
    <s v="DRS-BTR-M"/>
    <x v="1"/>
    <s v="Butterfly Dress"/>
    <n v="2899"/>
    <n v="1"/>
    <n v="2899"/>
    <s v=""/>
    <n v="0"/>
    <s v="Debit Card"/>
    <x v="0"/>
    <s v="Vizag"/>
    <s v="Andhra Pradesh"/>
    <s v="Bangalore"/>
    <d v="2024-11-02T00:00:00"/>
    <s v="Delivered"/>
    <x v="1"/>
    <x v="4"/>
    <d v="2024-11-30T00:00:00"/>
    <s v="Processed"/>
  </r>
  <r>
    <x v="81"/>
    <x v="20"/>
    <s v="CUST_10081"/>
    <x v="1"/>
    <s v="TOP-VNK-L"/>
    <x v="0"/>
    <s v="V-Neck Tee"/>
    <n v="1099"/>
    <n v="2"/>
    <n v="2198"/>
    <s v=""/>
    <n v="0"/>
    <s v="UPI"/>
    <x v="2"/>
    <s v="Thiruvananthapuram"/>
    <s v="Kerala"/>
    <s v="Bangalore"/>
    <d v="2024-10-30T00:00:00"/>
    <s v="Delivered"/>
    <x v="0"/>
    <x v="2"/>
    <m/>
    <s v="Not Applicable"/>
  </r>
  <r>
    <x v="82"/>
    <x v="20"/>
    <s v="CUST_10082"/>
    <x v="0"/>
    <s v="OUT-TRN-M"/>
    <x v="3"/>
    <s v="Trench Coat"/>
    <n v="5499"/>
    <n v="1"/>
    <n v="5499"/>
    <s v="FIRST15"/>
    <n v="15"/>
    <s v="Credit Card"/>
    <x v="1"/>
    <s v="Mysore"/>
    <s v="Karnataka"/>
    <s v="Bangalore"/>
    <d v="2024-11-03T00:00:00"/>
    <s v="Delivered"/>
    <x v="1"/>
    <x v="1"/>
    <d v="2024-12-01T00:00:00"/>
    <s v="Processed"/>
  </r>
  <r>
    <x v="83"/>
    <x v="21"/>
    <s v="CUST_10083"/>
    <x v="0"/>
    <s v="ACC-BDY-OS"/>
    <x v="4"/>
    <s v="Body Chain"/>
    <n v="799"/>
    <n v="1"/>
    <n v="799"/>
    <s v=""/>
    <n v="0"/>
    <s v="COD"/>
    <x v="0"/>
    <s v="Vadodara"/>
    <s v="Gujarat"/>
    <s v="Mumbai"/>
    <m/>
    <s v="RTO"/>
    <x v="0"/>
    <x v="2"/>
    <m/>
    <s v="Not Applicable"/>
  </r>
  <r>
    <x v="84"/>
    <x v="21"/>
    <s v="CUST_10084"/>
    <x v="0"/>
    <s v="BOT-JGR-L"/>
    <x v="2"/>
    <s v="Jogger Pants"/>
    <n v="1599"/>
    <n v="1"/>
    <n v="1599"/>
    <s v=""/>
    <n v="0"/>
    <s v="Wallet"/>
    <x v="2"/>
    <s v="Rajkot"/>
    <s v="Gujarat"/>
    <s v="Mumbai"/>
    <d v="2024-11-02T00:00:00"/>
    <s v="Delivered"/>
    <x v="0"/>
    <x v="2"/>
    <m/>
    <s v="Not Applicable"/>
  </r>
  <r>
    <x v="85"/>
    <x v="21"/>
    <s v="CUST_10085"/>
    <x v="1"/>
    <s v="DRS-RFL-S"/>
    <x v="1"/>
    <s v="Ruffle Dress"/>
    <n v="2699"/>
    <n v="1"/>
    <n v="2699"/>
    <s v="DIWALI20"/>
    <n v="20"/>
    <s v="Credit Card"/>
    <x v="1"/>
    <s v="Kanpur"/>
    <s v="Uttar Pradesh"/>
    <s v="Delhi"/>
    <d v="2024-11-01T00:00:00"/>
    <s v="Delivered"/>
    <x v="1"/>
    <x v="3"/>
    <d v="2024-11-30T00:00:00"/>
    <s v="Processed"/>
  </r>
  <r>
    <x v="86"/>
    <x v="21"/>
    <s v="CUST_10086"/>
    <x v="0"/>
    <s v="TOP-SQR-M"/>
    <x v="0"/>
    <s v="Square Neck Top"/>
    <n v="1499"/>
    <n v="1"/>
    <n v="1499"/>
    <s v=""/>
    <n v="0"/>
    <s v="UPI"/>
    <x v="0"/>
    <s v="Mumbai"/>
    <s v="Maharashtra"/>
    <s v="Mumbai"/>
    <d v="2024-11-02T00:00:00"/>
    <s v="Delivered"/>
    <x v="0"/>
    <x v="2"/>
    <m/>
    <s v="Not Applicable"/>
  </r>
  <r>
    <x v="87"/>
    <x v="22"/>
    <s v="CUST_10087"/>
    <x v="0"/>
    <s v="OUT-WND-L"/>
    <x v="3"/>
    <s v="Windbreaker"/>
    <n v="3299"/>
    <n v="1"/>
    <n v="3299"/>
    <s v=""/>
    <n v="0"/>
    <s v="Debit Card"/>
    <x v="2"/>
    <s v="Delhi"/>
    <s v="Delhi"/>
    <s v="Delhi"/>
    <d v="2024-11-04T00:00:00"/>
    <s v="Delivered"/>
    <x v="1"/>
    <x v="5"/>
    <d v="2024-12-03T00:00:00"/>
    <s v="Processed"/>
  </r>
  <r>
    <x v="88"/>
    <x v="22"/>
    <s v="CUST_10088"/>
    <x v="0"/>
    <s v="ACC-ANK-OS"/>
    <x v="4"/>
    <s v="Anklet"/>
    <n v="499"/>
    <n v="2"/>
    <n v="998"/>
    <s v="FLAT10"/>
    <n v="10"/>
    <s v="Credit Card"/>
    <x v="1"/>
    <s v="Kolkata"/>
    <s v="West Bengal"/>
    <s v="Delhi"/>
    <d v="2024-11-01T00:00:00"/>
    <s v="Delivered"/>
    <x v="0"/>
    <x v="2"/>
    <m/>
    <s v="Not Applicable"/>
  </r>
  <r>
    <x v="89"/>
    <x v="22"/>
    <s v="CUST_10089"/>
    <x v="1"/>
    <s v="BOT-TRS-M"/>
    <x v="2"/>
    <s v="Tailored Trousers"/>
    <n v="2399"/>
    <n v="1"/>
    <n v="2399"/>
    <s v=""/>
    <n v="0"/>
    <s v="UPI"/>
    <x v="0"/>
    <s v="Chennai"/>
    <s v="Tamil Nadu"/>
    <s v="Bangalore"/>
    <d v="2024-11-03T00:00:00"/>
    <s v="Delivered"/>
    <x v="0"/>
    <x v="2"/>
    <m/>
    <s v="Not Applicable"/>
  </r>
  <r>
    <x v="90"/>
    <x v="22"/>
    <s v="CUST_10090"/>
    <x v="0"/>
    <s v="DRS-LST-M"/>
    <x v="1"/>
    <s v="Lace Trim Dress"/>
    <n v="2599"/>
    <n v="1"/>
    <n v="2599"/>
    <s v=""/>
    <n v="0"/>
    <s v="COD"/>
    <x v="2"/>
    <s v="Hyderabad"/>
    <s v="Telangana"/>
    <s v="Bangalore"/>
    <m/>
    <s v="RTO"/>
    <x v="0"/>
    <x v="2"/>
    <m/>
    <s v="Not Applicable"/>
  </r>
  <r>
    <x v="91"/>
    <x v="23"/>
    <s v="CUST_10091"/>
    <x v="0"/>
    <s v="TOP-TIE-S"/>
    <x v="0"/>
    <s v="Tie-Front Top"/>
    <n v="1399"/>
    <n v="1"/>
    <n v="1399"/>
    <s v="DIWALI20"/>
    <n v="20"/>
    <s v="Wallet"/>
    <x v="1"/>
    <s v="Pune"/>
    <s v="Maharashtra"/>
    <s v="Mumbai"/>
    <d v="2024-11-03T00:00:00"/>
    <s v="Delivered"/>
    <x v="1"/>
    <x v="1"/>
    <d v="2024-12-02T00:00:00"/>
    <s v="Processed"/>
  </r>
  <r>
    <x v="92"/>
    <x v="23"/>
    <s v="CUST_10092"/>
    <x v="0"/>
    <s v="OUT-PUF-M"/>
    <x v="3"/>
    <s v="Puffer Jacket"/>
    <n v="4299"/>
    <n v="1"/>
    <n v="4299"/>
    <s v=""/>
    <n v="0"/>
    <s v="Credit Card"/>
    <x v="0"/>
    <s v="Ahmedabad"/>
    <s v="Gujarat"/>
    <s v="Mumbai"/>
    <d v="2024-11-05T00:00:00"/>
    <s v="Delivered"/>
    <x v="0"/>
    <x v="2"/>
    <m/>
    <s v="Not Applicable"/>
  </r>
  <r>
    <x v="93"/>
    <x v="23"/>
    <s v="CUST_10093"/>
    <x v="1"/>
    <s v="ACC-HDR-OS"/>
    <x v="4"/>
    <s v="Hairband"/>
    <n v="399"/>
    <n v="3"/>
    <n v="1197"/>
    <s v=""/>
    <n v="0"/>
    <s v="UPI"/>
    <x v="2"/>
    <s v="Jaipur"/>
    <s v="Rajasthan"/>
    <s v="Delhi"/>
    <d v="2024-11-02T00:00:00"/>
    <s v="Delivered"/>
    <x v="0"/>
    <x v="2"/>
    <m/>
    <s v="Not Applicable"/>
  </r>
  <r>
    <x v="94"/>
    <x v="23"/>
    <s v="CUST_10094"/>
    <x v="0"/>
    <s v="BOT-PLT-L"/>
    <x v="2"/>
    <s v="Pleated Trousers"/>
    <n v="2199"/>
    <n v="1"/>
    <n v="2199"/>
    <s v="FIRST15"/>
    <n v="15"/>
    <s v="Debit Card"/>
    <x v="1"/>
    <s v="Lucknow"/>
    <s v="Uttar Pradesh"/>
    <s v="Delhi"/>
    <d v="2024-11-05T00:00:00"/>
    <s v="Delivered"/>
    <x v="1"/>
    <x v="6"/>
    <d v="2024-12-05T00:00:00"/>
    <s v="Processed"/>
  </r>
  <r>
    <x v="95"/>
    <x v="24"/>
    <s v="CUST_10095"/>
    <x v="0"/>
    <s v="DRS-SHR-S"/>
    <x v="1"/>
    <s v="Shirtdress"/>
    <n v="2399"/>
    <n v="1"/>
    <n v="2399"/>
    <s v=""/>
    <n v="0"/>
    <s v="Credit Card"/>
    <x v="0"/>
    <s v="Bangalore"/>
    <s v="Karnataka"/>
    <s v="Bangalore"/>
    <d v="2024-11-04T00:00:00"/>
    <s v="Delivered"/>
    <x v="0"/>
    <x v="2"/>
    <m/>
    <s v="Not Applicable"/>
  </r>
  <r>
    <x v="96"/>
    <x v="24"/>
    <s v="CUST_10096"/>
    <x v="0"/>
    <s v="TOP-GRF-M"/>
    <x v="0"/>
    <s v="Graphic Tee"/>
    <n v="1299"/>
    <n v="1"/>
    <n v="1299"/>
    <s v=""/>
    <n v="0"/>
    <s v="COD"/>
    <x v="2"/>
    <s v="Mumbai"/>
    <s v="Maharashtra"/>
    <s v="Mumbai"/>
    <d v="2024-11-06T00:00:00"/>
    <s v="Delivered"/>
    <x v="1"/>
    <x v="4"/>
    <d v="2024-12-05T00:00:00"/>
    <s v="Processed"/>
  </r>
  <r>
    <x v="97"/>
    <x v="24"/>
    <s v="CUST_10097"/>
    <x v="1"/>
    <s v="OUT-SHW-L"/>
    <x v="3"/>
    <s v="Shawl Wrap"/>
    <n v="2799"/>
    <n v="1"/>
    <n v="2799"/>
    <s v="DIWALI20"/>
    <n v="20"/>
    <s v="UPI"/>
    <x v="1"/>
    <s v="Delhi"/>
    <s v="Delhi"/>
    <s v="Delhi"/>
    <d v="2024-11-05T00:00:00"/>
    <s v="Delivered"/>
    <x v="0"/>
    <x v="2"/>
    <m/>
    <s v="Not Applicable"/>
  </r>
  <r>
    <x v="98"/>
    <x v="24"/>
    <s v="CUST_10098"/>
    <x v="0"/>
    <s v="ACC-BLT-S"/>
    <x v="4"/>
    <s v="Braided Belt"/>
    <n v="699"/>
    <n v="1"/>
    <n v="699"/>
    <s v=""/>
    <n v="0"/>
    <s v="Wallet"/>
    <x v="0"/>
    <s v="Chandigarh"/>
    <s v="Punjab"/>
    <s v="Delhi"/>
    <d v="2024-11-04T00:00:00"/>
    <s v="Delivered"/>
    <x v="0"/>
    <x v="2"/>
    <m/>
    <s v="Not Applicable"/>
  </r>
  <r>
    <x v="99"/>
    <x v="25"/>
    <s v="CUST_10099"/>
    <x v="0"/>
    <s v="BOT-CUT-M"/>
    <x v="2"/>
    <s v="Culottes"/>
    <n v="1699"/>
    <n v="1"/>
    <n v="1699"/>
    <s v=""/>
    <n v="0"/>
    <s v="Debit Card"/>
    <x v="2"/>
    <s v="Noida"/>
    <s v="Uttar Pradesh"/>
    <s v="Delhi"/>
    <d v="2024-11-07T00:00:00"/>
    <s v="Delivered"/>
    <x v="1"/>
    <x v="1"/>
    <d v="2024-12-06T00:00:00"/>
    <s v="Processed"/>
  </r>
  <r>
    <x v="100"/>
    <x v="25"/>
    <s v="CUST_10100"/>
    <x v="0"/>
    <s v="DRS-MXI-L"/>
    <x v="1"/>
    <s v="Maxi Dress"/>
    <n v="2799"/>
    <n v="1"/>
    <n v="2799"/>
    <s v="FLAT10"/>
    <n v="10"/>
    <s v="Credit Card"/>
    <x v="1"/>
    <s v="Gurgaon"/>
    <s v="Haryana"/>
    <s v="Delhi"/>
    <d v="2024-11-06T00:00:00"/>
    <s v="Delivered"/>
    <x v="0"/>
    <x v="2"/>
    <m/>
    <s v="Not Applicable"/>
  </r>
  <r>
    <x v="101"/>
    <x v="25"/>
    <s v="CUST_10101"/>
    <x v="1"/>
    <s v="TOP-SLV-S"/>
    <x v="0"/>
    <s v="Sleeveless Top"/>
    <n v="1199"/>
    <n v="2"/>
    <n v="2398"/>
    <s v=""/>
    <n v="0"/>
    <s v="UPI"/>
    <x v="0"/>
    <s v="Indore"/>
    <s v="Madhya Pradesh"/>
    <s v="Mumbai"/>
    <d v="2024-11-05T00:00:00"/>
    <s v="Delivered"/>
    <x v="1"/>
    <x v="3"/>
    <d v="2024-12-04T00:00:00"/>
    <s v="Processed"/>
  </r>
  <r>
    <x v="102"/>
    <x v="25"/>
    <s v="CUST_10102"/>
    <x v="0"/>
    <s v="OUT-CPE-M"/>
    <x v="3"/>
    <s v="Cape Coat"/>
    <n v="5999"/>
    <n v="1"/>
    <n v="5999"/>
    <s v=""/>
    <n v="0"/>
    <s v="Credit Card"/>
    <x v="2"/>
    <s v="Surat"/>
    <s v="Gujarat"/>
    <s v="Mumbai"/>
    <d v="2024-11-08T00:00:00"/>
    <s v="Delivered"/>
    <x v="0"/>
    <x v="2"/>
    <m/>
    <s v="Not Applicable"/>
  </r>
  <r>
    <x v="103"/>
    <x v="26"/>
    <s v="CUST_10103"/>
    <x v="0"/>
    <s v="ACC-SHD-OS"/>
    <x v="4"/>
    <s v="Shoulder Bag"/>
    <n v="1799"/>
    <n v="1"/>
    <n v="1799"/>
    <s v="DIWALI20"/>
    <n v="20"/>
    <s v="COD"/>
    <x v="1"/>
    <s v="Patna"/>
    <s v="Bihar"/>
    <s v="Delhi"/>
    <m/>
    <s v="RTO"/>
    <x v="0"/>
    <x v="2"/>
    <m/>
    <s v="Not Applicable"/>
  </r>
  <r>
    <x v="104"/>
    <x v="26"/>
    <s v="CUST_10104"/>
    <x v="0"/>
    <s v="BOT-STR-L"/>
    <x v="2"/>
    <s v="Straight Pants"/>
    <n v="1999"/>
    <n v="1"/>
    <n v="1999"/>
    <s v=""/>
    <n v="0"/>
    <s v="Wallet"/>
    <x v="0"/>
    <s v="Bhopal"/>
    <s v="Madhya Pradesh"/>
    <s v="Mumbai"/>
    <d v="2024-11-07T00:00:00"/>
    <s v="Delivered"/>
    <x v="1"/>
    <x v="5"/>
    <d v="2024-12-07T00:00:00"/>
    <s v="Processed"/>
  </r>
  <r>
    <x v="105"/>
    <x v="26"/>
    <s v="CUST_10105"/>
    <x v="1"/>
    <s v="DRS-FIT-S"/>
    <x v="1"/>
    <s v="Fit &amp; Flare Dress"/>
    <n v="2499"/>
    <n v="1"/>
    <n v="2499"/>
    <s v=""/>
    <n v="0"/>
    <s v="Debit Card"/>
    <x v="2"/>
    <s v="Nagpur"/>
    <s v="Maharashtra"/>
    <s v="Mumbai"/>
    <d v="2024-11-08T00:00:00"/>
    <s v="Delivered"/>
    <x v="0"/>
    <x v="2"/>
    <m/>
    <s v="Not Applicable"/>
  </r>
  <r>
    <x v="106"/>
    <x v="26"/>
    <s v="CUST_10106"/>
    <x v="0"/>
    <s v="TOP-CWL-M"/>
    <x v="0"/>
    <s v="Cowl Neck Top"/>
    <n v="1599"/>
    <n v="1"/>
    <n v="1599"/>
    <s v="FIRST15"/>
    <n v="15"/>
    <s v="UPI"/>
    <x v="1"/>
    <s v="Coimbatore"/>
    <s v="Tamil Nadu"/>
    <s v="Bangalore"/>
    <d v="2024-11-06T00:00:00"/>
    <s v="Delivered"/>
    <x v="1"/>
    <x v="1"/>
    <d v="2024-12-05T00:00:00"/>
    <s v="Processed"/>
  </r>
  <r>
    <x v="107"/>
    <x v="27"/>
    <s v="CUST_10107"/>
    <x v="0"/>
    <s v="OUT-BLR-L"/>
    <x v="3"/>
    <s v="Blazer"/>
    <n v="3999"/>
    <n v="1"/>
    <n v="3999"/>
    <s v=""/>
    <n v="0"/>
    <s v="Credit Card"/>
    <x v="0"/>
    <s v="Kochi"/>
    <s v="Kerala"/>
    <s v="Bangalore"/>
    <d v="2024-11-09T00:00:00"/>
    <s v="Delivered"/>
    <x v="0"/>
    <x v="2"/>
    <m/>
    <s v="Not Applicable"/>
  </r>
  <r>
    <x v="108"/>
    <x v="27"/>
    <s v="CUST_10108"/>
    <x v="0"/>
    <s v="ACC-CFF-OS"/>
    <x v="4"/>
    <s v="Cuff Bracelet"/>
    <n v="599"/>
    <n v="2"/>
    <n v="1198"/>
    <s v=""/>
    <n v="0"/>
    <s v="COD"/>
    <x v="2"/>
    <s v="Vizag"/>
    <s v="Andhra Pradesh"/>
    <s v="Bangalore"/>
    <d v="2024-11-07T00:00:00"/>
    <s v="Delivered"/>
    <x v="1"/>
    <x v="6"/>
    <d v="2024-12-06T00:00:00"/>
    <s v="Processed"/>
  </r>
  <r>
    <x v="109"/>
    <x v="27"/>
    <s v="CUST_10109"/>
    <x v="1"/>
    <s v="BOT-HRM-M"/>
    <x v="2"/>
    <s v="Harem Pants"/>
    <n v="1799"/>
    <n v="1"/>
    <n v="1799"/>
    <s v="DIWALI20"/>
    <n v="20"/>
    <s v="UPI"/>
    <x v="1"/>
    <s v="Thiruvananthapuram"/>
    <s v="Kerala"/>
    <s v="Bangalore"/>
    <d v="2024-11-08T00:00:00"/>
    <s v="Delivered"/>
    <x v="0"/>
    <x v="2"/>
    <m/>
    <s v="Not Applicable"/>
  </r>
  <r>
    <x v="110"/>
    <x v="28"/>
    <s v="CUST_10110"/>
    <x v="0"/>
    <s v="DRS-FES-M"/>
    <x v="1"/>
    <s v="Festive Kurta Set"/>
    <n v="3499"/>
    <n v="1"/>
    <n v="3499"/>
    <s v="DIWALI40"/>
    <n v="40"/>
    <s v="Credit Card"/>
    <x v="0"/>
    <s v="Delhi"/>
    <s v="Delhi"/>
    <s v="Delhi"/>
    <d v="2024-11-02T00:00:00"/>
    <s v="Delivered"/>
    <x v="1"/>
    <x v="1"/>
    <d v="2024-11-18T00:00:00"/>
    <s v="Processed"/>
  </r>
  <r>
    <x v="111"/>
    <x v="28"/>
    <s v="CUST_10111"/>
    <x v="0"/>
    <s v="OUT-ETH-L"/>
    <x v="3"/>
    <s v="Embroidered Jacket"/>
    <n v="5999"/>
    <n v="1"/>
    <n v="5999"/>
    <s v="DIWALI40"/>
    <n v="40"/>
    <s v="COD"/>
    <x v="1"/>
    <s v="Mumbai"/>
    <s v="Maharashtra"/>
    <s v="Mumbai"/>
    <d v="2024-11-03T00:00:00"/>
    <s v="Delivered"/>
    <x v="1"/>
    <x v="5"/>
    <d v="2024-11-20T00:00:00"/>
    <s v="Processed"/>
  </r>
  <r>
    <x v="112"/>
    <x v="28"/>
    <s v="CUST_10112"/>
    <x v="0"/>
    <s v="TOP-FES-S"/>
    <x v="0"/>
    <s v="Festive Blouse"/>
    <n v="2299"/>
    <n v="2"/>
    <n v="4598"/>
    <s v="DIWALI40"/>
    <n v="40"/>
    <s v="UPI"/>
    <x v="2"/>
    <s v="Jaipur"/>
    <s v="Rajasthan"/>
    <s v="Delhi"/>
    <d v="2024-11-04T00:00:00"/>
    <s v="Delivered"/>
    <x v="1"/>
    <x v="1"/>
    <d v="2024-11-22T00:00:00"/>
    <s v="Processed"/>
  </r>
  <r>
    <x v="113"/>
    <x v="28"/>
    <s v="CUST_10113"/>
    <x v="1"/>
    <s v="ACC-CLT-OS"/>
    <x v="4"/>
    <s v="Festive Clutch"/>
    <n v="1599"/>
    <n v="1"/>
    <n v="1599"/>
    <s v="DIWALI40"/>
    <n v="40"/>
    <s v="Credit Card"/>
    <x v="0"/>
    <s v="Lucknow"/>
    <s v="Uttar Pradesh"/>
    <s v="Delhi"/>
    <d v="2024-11-03T00:00:00"/>
    <s v="Delivered"/>
    <x v="0"/>
    <x v="2"/>
    <m/>
    <s v="Not Applicable"/>
  </r>
  <r>
    <x v="114"/>
    <x v="28"/>
    <s v="CUST_10114"/>
    <x v="0"/>
    <s v="BOT-ETH-M"/>
    <x v="2"/>
    <s v="Palazzo Pants"/>
    <n v="1899"/>
    <n v="1"/>
    <n v="1899"/>
    <s v="DIWALI40"/>
    <n v="40"/>
    <s v="COD"/>
    <x v="1"/>
    <s v="Chennai"/>
    <s v="Tamil Nadu"/>
    <s v="Bangalore"/>
    <m/>
    <s v="RTO"/>
    <x v="0"/>
    <x v="2"/>
    <m/>
    <s v="Not Applicable"/>
  </r>
  <r>
    <x v="115"/>
    <x v="29"/>
    <s v="CUST_10115"/>
    <x v="0"/>
    <s v="DRS-ANK-S"/>
    <x v="1"/>
    <s v="Anarkali Dress"/>
    <n v="4299"/>
    <n v="1"/>
    <n v="4299"/>
    <s v="DIWALI40"/>
    <n v="40"/>
    <s v="Debit Card"/>
    <x v="0"/>
    <s v="Hyderabad"/>
    <s v="Telangana"/>
    <s v="Bangalore"/>
    <d v="2024-11-05T00:00:00"/>
    <s v="Delivered"/>
    <x v="1"/>
    <x v="3"/>
    <d v="2024-11-25T00:00:00"/>
    <s v="Processed"/>
  </r>
  <r>
    <x v="116"/>
    <x v="29"/>
    <s v="CUST_10116"/>
    <x v="0"/>
    <s v="TOP-ETH-M"/>
    <x v="0"/>
    <s v="Embroidered Kurti"/>
    <n v="2599"/>
    <n v="1"/>
    <n v="2599"/>
    <s v="DIWALI40"/>
    <n v="40"/>
    <s v="UPI"/>
    <x v="2"/>
    <s v="Pune"/>
    <s v="Maharashtra"/>
    <s v="Mumbai"/>
    <d v="2024-11-06T00:00:00"/>
    <s v="Delivered"/>
    <x v="1"/>
    <x v="4"/>
    <d v="2024-11-28T00:00:00"/>
    <s v="Pending"/>
  </r>
  <r>
    <x v="117"/>
    <x v="29"/>
    <s v="CUST_10117"/>
    <x v="0"/>
    <s v="OUT-SHW-L"/>
    <x v="3"/>
    <s v="Pashmina Shawl"/>
    <n v="3999"/>
    <n v="1"/>
    <n v="3999"/>
    <s v="DIWALI40"/>
    <n v="40"/>
    <s v="Credit Card"/>
    <x v="1"/>
    <s v="Amritsar"/>
    <s v="Punjab"/>
    <s v="Delhi"/>
    <d v="2024-11-07T00:00:00"/>
    <s v="Delivered"/>
    <x v="1"/>
    <x v="1"/>
    <d v="2024-12-01T00:00:00"/>
    <s v="Processed"/>
  </r>
  <r>
    <x v="118"/>
    <x v="29"/>
    <s v="CUST_10118"/>
    <x v="1"/>
    <s v="DRS-LHG-M"/>
    <x v="1"/>
    <s v="Lehenga Set"/>
    <n v="8999"/>
    <n v="1"/>
    <n v="8999"/>
    <s v="DIWALI40"/>
    <n v="40"/>
    <s v="Credit Card"/>
    <x v="0"/>
    <s v="Ahmedabad"/>
    <s v="Gujarat"/>
    <s v="Mumbai"/>
    <d v="2024-11-06T00:00:00"/>
    <s v="Delivered"/>
    <x v="1"/>
    <x v="1"/>
    <d v="2024-12-02T00:00:00"/>
    <s v="Processed"/>
  </r>
  <r>
    <x v="119"/>
    <x v="29"/>
    <s v="CUST_10119"/>
    <x v="0"/>
    <s v="ACC-STL-OS"/>
    <x v="4"/>
    <s v="Statement Necklace"/>
    <n v="1299"/>
    <n v="2"/>
    <n v="2598"/>
    <s v="DIWALI40"/>
    <n v="40"/>
    <s v="COD"/>
    <x v="2"/>
    <s v="Kolkata"/>
    <s v="West Bengal"/>
    <s v="Delhi"/>
    <d v="2024-11-08T00:00:00"/>
    <s v="Delivered"/>
    <x v="1"/>
    <x v="6"/>
    <d v="2024-11-30T00:00:00"/>
    <s v="Processed"/>
  </r>
  <r>
    <x v="120"/>
    <x v="29"/>
    <s v="CUST_10120"/>
    <x v="0"/>
    <s v="TOP-SQN-S"/>
    <x v="0"/>
    <s v="Sequin Top"/>
    <n v="1999"/>
    <n v="1"/>
    <n v="1999"/>
    <s v="DIWALI40"/>
    <n v="40"/>
    <s v="UPI"/>
    <x v="1"/>
    <s v="Bangalore"/>
    <s v="Karnataka"/>
    <s v="Bangalore"/>
    <d v="2024-11-07T00:00:00"/>
    <s v="Delivered"/>
    <x v="1"/>
    <x v="3"/>
    <d v="2024-12-03T00:00:00"/>
    <s v="Processed"/>
  </r>
  <r>
    <x v="121"/>
    <x v="30"/>
    <s v="CUST_10121"/>
    <x v="0"/>
    <s v="BOT-LHG-S"/>
    <x v="2"/>
    <s v="Lehenga Skirt"/>
    <n v="5499"/>
    <n v="1"/>
    <n v="5499"/>
    <s v="DIWALI40"/>
    <n v="40"/>
    <s v="Wallet"/>
    <x v="0"/>
    <s v="Surat"/>
    <s v="Gujarat"/>
    <s v="Mumbai"/>
    <d v="2024-11-08T00:00:00"/>
    <s v="Delivered"/>
    <x v="1"/>
    <x v="1"/>
    <d v="2024-12-01T00:00:00"/>
    <s v="Processed"/>
  </r>
  <r>
    <x v="122"/>
    <x v="30"/>
    <s v="CUST_10122"/>
    <x v="0"/>
    <s v="DRS-SAR-M"/>
    <x v="1"/>
    <s v="Saree Gown"/>
    <n v="6999"/>
    <n v="1"/>
    <n v="6999"/>
    <s v="DIWALI40"/>
    <n v="40"/>
    <s v="Credit Card"/>
    <x v="2"/>
    <s v="Mumbai"/>
    <s v="Maharashtra"/>
    <s v="Mumbai"/>
    <d v="2024-11-09T00:00:00"/>
    <s v="Delivered"/>
    <x v="1"/>
    <x v="1"/>
    <d v="2024-12-03T00:00:00"/>
    <s v="Processed"/>
  </r>
  <r>
    <x v="123"/>
    <x v="30"/>
    <s v="CUST_10123"/>
    <x v="1"/>
    <s v="OUT-BLS-M"/>
    <x v="3"/>
    <s v="Brocade Blazer"/>
    <n v="4999"/>
    <n v="1"/>
    <n v="4999"/>
    <s v="DIWALI40"/>
    <n v="40"/>
    <s v="Debit Card"/>
    <x v="1"/>
    <s v="Delhi"/>
    <s v="Delhi"/>
    <s v="Delhi"/>
    <d v="2024-11-10T00:00:00"/>
    <s v="Delivered"/>
    <x v="0"/>
    <x v="2"/>
    <m/>
    <s v="Not Applicable"/>
  </r>
  <r>
    <x v="124"/>
    <x v="30"/>
    <s v="CUST_10124"/>
    <x v="0"/>
    <s v="ACC-MNG-OS"/>
    <x v="4"/>
    <s v="Maang Tikka Set"/>
    <n v="899"/>
    <n v="1"/>
    <n v="899"/>
    <s v="DIWALI40"/>
    <n v="40"/>
    <s v="UPI"/>
    <x v="0"/>
    <s v="Varanasi"/>
    <s v="Uttar Pradesh"/>
    <s v="Delhi"/>
    <d v="2024-11-10T00:00:00"/>
    <s v="Delivered"/>
    <x v="0"/>
    <x v="2"/>
    <m/>
    <s v="Not Applicable"/>
  </r>
  <r>
    <x v="125"/>
    <x v="30"/>
    <s v="CUST_10125"/>
    <x v="0"/>
    <s v="TOP-ZAR-L"/>
    <x v="0"/>
    <s v="Zardozi Blouse"/>
    <n v="3299"/>
    <n v="1"/>
    <n v="3299"/>
    <s v="DIWALI40"/>
    <n v="40"/>
    <s v="COD"/>
    <x v="2"/>
    <s v="Jaipur"/>
    <s v="Rajasthan"/>
    <s v="Delhi"/>
    <d v="2024-11-12T00:00:00"/>
    <s v="Delivered"/>
    <x v="1"/>
    <x v="5"/>
    <d v="2024-12-05T00:00:00"/>
    <s v="Pending"/>
  </r>
  <r>
    <x v="126"/>
    <x v="31"/>
    <s v="CUST_10126"/>
    <x v="0"/>
    <s v="DRS-FES-L"/>
    <x v="1"/>
    <s v="Festive Gown"/>
    <n v="7499"/>
    <n v="1"/>
    <n v="7499"/>
    <s v="DIWALI40"/>
    <n v="40"/>
    <s v="Credit Card"/>
    <x v="0"/>
    <s v="Lucknow"/>
    <s v="Uttar Pradesh"/>
    <s v="Delhi"/>
    <d v="2024-11-11T00:00:00"/>
    <s v="Delivered"/>
    <x v="1"/>
    <x v="1"/>
    <d v="2024-12-04T00:00:00"/>
    <s v="Processed"/>
  </r>
  <r>
    <x v="127"/>
    <x v="31"/>
    <s v="CUST_10127"/>
    <x v="0"/>
    <s v="BOT-SLK-M"/>
    <x v="2"/>
    <s v="Silk Pants"/>
    <n v="3299"/>
    <n v="1"/>
    <n v="3299"/>
    <s v="DIWALI40"/>
    <n v="40"/>
    <s v="UPI"/>
    <x v="1"/>
    <s v="Chandigarh"/>
    <s v="Punjab"/>
    <s v="Delhi"/>
    <d v="2024-11-12T00:00:00"/>
    <s v="Delivered"/>
    <x v="1"/>
    <x v="4"/>
    <d v="2024-12-06T00:00:00"/>
    <s v="Processed"/>
  </r>
  <r>
    <x v="128"/>
    <x v="31"/>
    <s v="CUST_10128"/>
    <x v="1"/>
    <s v="OUT-VLV-L"/>
    <x v="3"/>
    <s v="Velvet Jacket"/>
    <n v="5499"/>
    <n v="1"/>
    <n v="5499"/>
    <s v="DIWALI40"/>
    <n v="40"/>
    <s v="Debit Card"/>
    <x v="2"/>
    <s v="Noida"/>
    <s v="Uttar Pradesh"/>
    <s v="Delhi"/>
    <d v="2024-11-13T00:00:00"/>
    <s v="Delivered"/>
    <x v="1"/>
    <x v="3"/>
    <d v="2024-12-08T00:00:00"/>
    <s v="Processed"/>
  </r>
  <r>
    <x v="129"/>
    <x v="31"/>
    <s v="CUST_10129"/>
    <x v="0"/>
    <s v="ACC-TKA-OS"/>
    <x v="4"/>
    <s v="Tikka Headpiece"/>
    <n v="1199"/>
    <n v="1"/>
    <n v="1199"/>
    <s v="DIWALI40"/>
    <n v="40"/>
    <s v="COD"/>
    <x v="0"/>
    <s v="Gurgaon"/>
    <s v="Haryana"/>
    <s v="Delhi"/>
    <m/>
    <s v="RTO"/>
    <x v="0"/>
    <x v="2"/>
    <m/>
    <s v="Not Applicable"/>
  </r>
  <r>
    <x v="130"/>
    <x v="31"/>
    <s v="CUST_10130"/>
    <x v="0"/>
    <s v="TOP-GOT-S"/>
    <x v="0"/>
    <s v="Gota Patti Top"/>
    <n v="2799"/>
    <n v="1"/>
    <n v="2799"/>
    <s v="DIWALI40"/>
    <n v="40"/>
    <s v="Wallet"/>
    <x v="1"/>
    <s v="Indore"/>
    <s v="Madhya Pradesh"/>
    <s v="Mumbai"/>
    <d v="2024-11-12T00:00:00"/>
    <s v="Delivered"/>
    <x v="1"/>
    <x v="1"/>
    <d v="2024-12-07T00:00:00"/>
    <s v="Processed"/>
  </r>
  <r>
    <x v="131"/>
    <x v="32"/>
    <s v="CUST_10131"/>
    <x v="0"/>
    <s v="DRS-BND-M"/>
    <x v="1"/>
    <s v="Bandhani Dress"/>
    <n v="3899"/>
    <n v="1"/>
    <n v="3899"/>
    <s v="DIWALI40"/>
    <n v="40"/>
    <s v="Credit Card"/>
    <x v="2"/>
    <s v="Surat"/>
    <s v="Gujarat"/>
    <s v="Mumbai"/>
    <d v="2024-11-10T00:00:00"/>
    <s v="Delivered"/>
    <x v="1"/>
    <x v="5"/>
    <d v="2024-12-05T00:00:00"/>
    <s v="Processed"/>
  </r>
  <r>
    <x v="132"/>
    <x v="32"/>
    <s v="CUST_10132"/>
    <x v="0"/>
    <s v="BOT-BRC-L"/>
    <x v="2"/>
    <s v="Brocade Pants"/>
    <n v="2999"/>
    <n v="1"/>
    <n v="2999"/>
    <s v="DIWALI40"/>
    <n v="40"/>
    <s v="UPI"/>
    <x v="0"/>
    <s v="Patna"/>
    <s v="Bihar"/>
    <s v="Delhi"/>
    <d v="2024-11-11T00:00:00"/>
    <s v="Delivered"/>
    <x v="0"/>
    <x v="2"/>
    <m/>
    <s v="Not Applicable"/>
  </r>
  <r>
    <x v="133"/>
    <x v="32"/>
    <s v="CUST_10133"/>
    <x v="1"/>
    <s v="OUT-ZRI-M"/>
    <x v="3"/>
    <s v="Zari Work Jacket"/>
    <n v="6499"/>
    <n v="1"/>
    <n v="6499"/>
    <s v="DIWALI40"/>
    <n v="40"/>
    <s v="Credit Card"/>
    <x v="1"/>
    <s v="Bhopal"/>
    <s v="Madhya Pradesh"/>
    <s v="Mumbai"/>
    <d v="2024-11-13T00:00:00"/>
    <s v="Delivered"/>
    <x v="1"/>
    <x v="1"/>
    <d v="2024-12-10T00:00:00"/>
    <s v="Processed"/>
  </r>
  <r>
    <x v="134"/>
    <x v="32"/>
    <s v="CUST_10134"/>
    <x v="0"/>
    <s v="ACC-JHM-OS"/>
    <x v="4"/>
    <s v="Jhumka Earrings"/>
    <n v="999"/>
    <n v="2"/>
    <n v="1998"/>
    <s v="DIWALI40"/>
    <n v="40"/>
    <s v="Debit Card"/>
    <x v="2"/>
    <s v="Nagpur"/>
    <s v="Maharashtra"/>
    <s v="Mumbai"/>
    <d v="2024-11-11T00:00:00"/>
    <s v="Delivered"/>
    <x v="0"/>
    <x v="2"/>
    <m/>
    <s v="Not Applicable"/>
  </r>
  <r>
    <x v="135"/>
    <x v="33"/>
    <s v="CUST_10135"/>
    <x v="0"/>
    <s v="TOP-MRR-S"/>
    <x v="0"/>
    <s v="Mirror Work Top"/>
    <n v="2499"/>
    <n v="1"/>
    <n v="2499"/>
    <s v="DIWALI40"/>
    <n v="40"/>
    <s v="COD"/>
    <x v="0"/>
    <s v="Coimbatore"/>
    <s v="Tamil Nadu"/>
    <s v="Bangalore"/>
    <d v="2024-11-12T00:00:00"/>
    <s v="Delivered"/>
    <x v="1"/>
    <x v="3"/>
    <d v="2024-12-08T00:00:00"/>
    <s v="Processed"/>
  </r>
  <r>
    <x v="136"/>
    <x v="33"/>
    <s v="CUST_10136"/>
    <x v="0"/>
    <s v="DRS-PTL-M"/>
    <x v="1"/>
    <s v="Patiala Suit"/>
    <n v="4599"/>
    <n v="1"/>
    <n v="4599"/>
    <s v="DIWALI40"/>
    <n v="40"/>
    <s v="UPI"/>
    <x v="1"/>
    <s v="Kochi"/>
    <s v="Kerala"/>
    <s v="Bangalore"/>
    <d v="2024-11-14T00:00:00"/>
    <s v="Delivered"/>
    <x v="1"/>
    <x v="1"/>
    <d v="2024-12-12T00:00:00"/>
    <s v="Processed"/>
  </r>
  <r>
    <x v="137"/>
    <x v="33"/>
    <s v="CUST_10137"/>
    <x v="0"/>
    <s v="BOT-DHT-L"/>
    <x v="2"/>
    <s v="Dhoti Pants"/>
    <n v="1799"/>
    <n v="1"/>
    <n v="1799"/>
    <s v="DIWALI40"/>
    <n v="40"/>
    <s v="Credit Card"/>
    <x v="2"/>
    <s v="Vizag"/>
    <s v="Andhra Pradesh"/>
    <s v="Bangalore"/>
    <d v="2024-11-13T00:00:00"/>
    <s v="Delivered"/>
    <x v="0"/>
    <x v="2"/>
    <m/>
    <s v="Not Applicable"/>
  </r>
  <r>
    <x v="138"/>
    <x v="33"/>
    <s v="CUST_10138"/>
    <x v="1"/>
    <s v="OUT-KTN-M"/>
    <x v="3"/>
    <s v="Katan Silk Jacket"/>
    <n v="7999"/>
    <n v="1"/>
    <n v="7999"/>
    <s v="DIWALI40"/>
    <n v="40"/>
    <s v="Wallet"/>
    <x v="0"/>
    <s v="Thiruvananthapuram"/>
    <s v="Kerala"/>
    <s v="Bangalore"/>
    <d v="2024-11-15T00:00:00"/>
    <s v="Delivered"/>
    <x v="1"/>
    <x v="4"/>
    <d v="2024-12-14T00:00:00"/>
    <s v="Processed"/>
  </r>
  <r>
    <x v="139"/>
    <x v="34"/>
    <s v="CUST_10139"/>
    <x v="0"/>
    <s v="ACC-KDN-OS"/>
    <x v="4"/>
    <s v="Kundan Set"/>
    <n v="2499"/>
    <n v="1"/>
    <n v="2499"/>
    <s v="DIWALI40"/>
    <n v="40"/>
    <s v="Debit Card"/>
    <x v="1"/>
    <s v="Mysore"/>
    <s v="Karnataka"/>
    <s v="Bangalore"/>
    <d v="2024-11-14T00:00:00"/>
    <s v="Delivered"/>
    <x v="1"/>
    <x v="6"/>
    <d v="2024-12-12T00:00:00"/>
    <s v="Processed"/>
  </r>
  <r>
    <x v="140"/>
    <x v="34"/>
    <s v="CUST_10140"/>
    <x v="0"/>
    <s v="TOP-CHK-L"/>
    <x v="0"/>
    <s v="Chikankari Top"/>
    <n v="2299"/>
    <n v="1"/>
    <n v="2299"/>
    <s v="DIWALI40"/>
    <n v="40"/>
    <s v="UPI"/>
    <x v="2"/>
    <s v="Vadodara"/>
    <s v="Gujarat"/>
    <s v="Mumbai"/>
    <d v="2024-11-15T00:00:00"/>
    <s v="Delivered"/>
    <x v="1"/>
    <x v="1"/>
    <d v="2024-12-13T00:00:00"/>
    <s v="Processed"/>
  </r>
  <r>
    <x v="141"/>
    <x v="34"/>
    <s v="CUST_10141"/>
    <x v="0"/>
    <s v="DRS-SHR-S"/>
    <x v="1"/>
    <s v="Sharara Set"/>
    <n v="5999"/>
    <n v="1"/>
    <n v="5999"/>
    <s v="DIWALI40"/>
    <n v="40"/>
    <s v="Credit Card"/>
    <x v="0"/>
    <s v="Rajkot"/>
    <s v="Gujarat"/>
    <s v="Mumbai"/>
    <d v="2024-11-16T00:00:00"/>
    <s v="Delivered"/>
    <x v="1"/>
    <x v="5"/>
    <d v="2024-12-15T00:00:00"/>
    <s v="Processed"/>
  </r>
  <r>
    <x v="142"/>
    <x v="34"/>
    <s v="CUST_10142"/>
    <x v="1"/>
    <s v="BOT-GRR-M"/>
    <x v="2"/>
    <s v="Gharara Pants"/>
    <n v="2599"/>
    <n v="1"/>
    <n v="2599"/>
    <s v="DIWALI40"/>
    <n v="40"/>
    <s v="COD"/>
    <x v="1"/>
    <s v="Kanpur"/>
    <s v="Uttar Pradesh"/>
    <s v="Delhi"/>
    <d v="2024-11-15T00:00:00"/>
    <s v="Delivered"/>
    <x v="0"/>
    <x v="2"/>
    <m/>
    <s v="Not Applicable"/>
  </r>
  <r>
    <x v="143"/>
    <x v="35"/>
    <s v="CUST_10143"/>
    <x v="0"/>
    <s v="OUT-PHU-L"/>
    <x v="3"/>
    <s v="Phulkari Jacket"/>
    <n v="4299"/>
    <n v="1"/>
    <n v="4299"/>
    <s v="DIWALI40"/>
    <n v="40"/>
    <s v="Credit Card"/>
    <x v="2"/>
    <s v="Mumbai"/>
    <s v="Maharashtra"/>
    <s v="Mumbai"/>
    <d v="2024-11-17T00:00:00"/>
    <s v="Delivered"/>
    <x v="1"/>
    <x v="3"/>
    <d v="2024-12-16T00:00:00"/>
    <s v="Processed"/>
  </r>
  <r>
    <x v="144"/>
    <x v="35"/>
    <s v="CUST_10144"/>
    <x v="0"/>
    <s v="ACC-MNP-OS"/>
    <x v="4"/>
    <s v="Mang Patti"/>
    <n v="799"/>
    <n v="1"/>
    <n v="799"/>
    <s v="DIWALI40"/>
    <n v="40"/>
    <s v="UPI"/>
    <x v="0"/>
    <s v="Delhi"/>
    <s v="Delhi"/>
    <s v="Delhi"/>
    <d v="2024-11-16T00:00:00"/>
    <s v="Delivered"/>
    <x v="0"/>
    <x v="2"/>
    <m/>
    <s v="Not Applicable"/>
  </r>
  <r>
    <x v="145"/>
    <x v="35"/>
    <s v="CUST_10145"/>
    <x v="0"/>
    <s v="TOP-BND-S"/>
    <x v="0"/>
    <s v="Bandhej Top"/>
    <n v="1899"/>
    <n v="1"/>
    <n v="1899"/>
    <s v="DIWALI40"/>
    <n v="40"/>
    <s v="Wallet"/>
    <x v="1"/>
    <s v="Kolkata"/>
    <s v="West Bengal"/>
    <s v="Delhi"/>
    <d v="2024-11-17T00:00:00"/>
    <s v="Delivered"/>
    <x v="1"/>
    <x v="1"/>
    <d v="2024-12-15T00:00:00"/>
    <s v="Processed"/>
  </r>
  <r>
    <x v="146"/>
    <x v="36"/>
    <s v="CUST_10146"/>
    <x v="0"/>
    <s v="DRS-LKH-M"/>
    <x v="1"/>
    <s v="Lucknowi Dress"/>
    <n v="4899"/>
    <n v="1"/>
    <n v="4899"/>
    <s v="DIWALI40"/>
    <n v="40"/>
    <s v="Debit Card"/>
    <x v="2"/>
    <s v="Chennai"/>
    <s v="Tamil Nadu"/>
    <s v="Bangalore"/>
    <d v="2024-11-18T00:00:00"/>
    <s v="Delivered"/>
    <x v="1"/>
    <x v="4"/>
    <d v="2024-12-17T00:00:00"/>
    <s v="Processed"/>
  </r>
  <r>
    <x v="147"/>
    <x v="36"/>
    <s v="CUST_10147"/>
    <x v="1"/>
    <s v="BOT-PTL-L"/>
    <x v="2"/>
    <s v="Patiala Pants"/>
    <n v="1499"/>
    <n v="1"/>
    <n v="1499"/>
    <s v="DIWALI40"/>
    <n v="40"/>
    <s v="Credit Card"/>
    <x v="0"/>
    <s v="Hyderabad"/>
    <s v="Telangana"/>
    <s v="Bangalore"/>
    <d v="2024-11-17T00:00:00"/>
    <s v="Delivered"/>
    <x v="0"/>
    <x v="2"/>
    <m/>
    <s v="Not Applicable"/>
  </r>
  <r>
    <x v="148"/>
    <x v="36"/>
    <s v="CUST_10148"/>
    <x v="0"/>
    <s v="OUT-KTH-M"/>
    <x v="3"/>
    <s v="Katha Work Jacket"/>
    <n v="5699"/>
    <n v="1"/>
    <n v="5699"/>
    <s v="DIWALI40"/>
    <n v="40"/>
    <s v="UPI"/>
    <x v="1"/>
    <s v="Pune"/>
    <s v="Maharashtra"/>
    <s v="Mumbai"/>
    <d v="2024-11-19T00:00:00"/>
    <s v="Delivered"/>
    <x v="1"/>
    <x v="1"/>
    <d v="2024-12-18T00:00:00"/>
    <s v="Processed"/>
  </r>
  <r>
    <x v="149"/>
    <x v="36"/>
    <s v="CUST_10149"/>
    <x v="0"/>
    <s v="ACC-BNG-OS"/>
    <x v="4"/>
    <s v="Bangle Set"/>
    <n v="599"/>
    <n v="4"/>
    <n v="2396"/>
    <s v="DIWALI40"/>
    <n v="40"/>
    <s v="COD"/>
    <x v="2"/>
    <s v="Ahmedabad"/>
    <s v="Gujarat"/>
    <s v="Mumbai"/>
    <d v="2024-11-18T00:00:00"/>
    <s v="Delivered"/>
    <x v="1"/>
    <x v="6"/>
    <d v="2024-12-16T00:00:00"/>
    <s v="Processed"/>
  </r>
  <r>
    <x v="150"/>
    <x v="37"/>
    <s v="CUST_10150"/>
    <x v="0"/>
    <s v="TOP-KSH-L"/>
    <x v="0"/>
    <s v="Kashmiri Top"/>
    <n v="2999"/>
    <n v="1"/>
    <n v="2999"/>
    <s v=""/>
    <n v="0"/>
    <s v="Credit Card"/>
    <x v="0"/>
    <s v="Jaipur"/>
    <s v="Rajasthan"/>
    <s v="Delhi"/>
    <d v="2024-11-19T00:00:00"/>
    <s v="Delivered"/>
    <x v="0"/>
    <x v="2"/>
    <m/>
    <s v="Not Applicable"/>
  </r>
  <r>
    <x v="151"/>
    <x v="37"/>
    <s v="CUST_10151"/>
    <x v="0"/>
    <s v="DRS-IDR-S"/>
    <x v="1"/>
    <s v="Ikat Dress"/>
    <n v="2799"/>
    <n v="1"/>
    <n v="2799"/>
    <s v=""/>
    <n v="0"/>
    <s v="UPI"/>
    <x v="1"/>
    <s v="Lucknow"/>
    <s v="Uttar Pradesh"/>
    <s v="Delhi"/>
    <d v="2024-11-20T00:00:00"/>
    <s v="Delivered"/>
    <x v="1"/>
    <x v="3"/>
    <d v="2024-12-18T00:00:00"/>
    <s v="Processed"/>
  </r>
  <r>
    <x v="152"/>
    <x v="37"/>
    <s v="CUST_10152"/>
    <x v="1"/>
    <s v="BOT-KLN-M"/>
    <x v="2"/>
    <s v="Kalamkari Pants"/>
    <n v="1699"/>
    <n v="1"/>
    <n v="1699"/>
    <s v="Nov15"/>
    <n v="15"/>
    <s v="Debit Card"/>
    <x v="2"/>
    <s v="Bangalore"/>
    <s v="Karnataka"/>
    <s v="Bangalore"/>
    <d v="2024-11-18T00:00:00"/>
    <s v="Delivered"/>
    <x v="0"/>
    <x v="2"/>
    <m/>
    <s v="Not Applicable"/>
  </r>
  <r>
    <x v="153"/>
    <x v="38"/>
    <s v="CUST_10153"/>
    <x v="0"/>
    <s v="OUT-JQD-L"/>
    <x v="3"/>
    <s v="Jacquard Jacket"/>
    <n v="4599"/>
    <n v="1"/>
    <n v="4599"/>
    <s v=""/>
    <n v="0"/>
    <s v="Credit Card"/>
    <x v="0"/>
    <s v="Mumbai"/>
    <s v="Maharashtra"/>
    <s v="Mumbai"/>
    <d v="2024-11-21T00:00:00"/>
    <s v="Delivered"/>
    <x v="1"/>
    <x v="1"/>
    <d v="2024-12-20T00:00:00"/>
    <s v="Processed"/>
  </r>
  <r>
    <x v="154"/>
    <x v="38"/>
    <s v="CUST_10154"/>
    <x v="0"/>
    <s v="ACC-CHN-OS"/>
    <x v="4"/>
    <s v="Choker Necklace"/>
    <n v="899"/>
    <n v="1"/>
    <n v="899"/>
    <s v=""/>
    <n v="0"/>
    <s v="COD"/>
    <x v="1"/>
    <s v="Delhi"/>
    <s v="Delhi"/>
    <s v="Delhi"/>
    <d v="2024-11-19T00:00:00"/>
    <s v="Delivered"/>
    <x v="0"/>
    <x v="2"/>
    <m/>
    <s v="Not Applicable"/>
  </r>
  <r>
    <x v="155"/>
    <x v="38"/>
    <s v="CUST_10155"/>
    <x v="0"/>
    <s v="TOP-AJR-M"/>
    <x v="0"/>
    <s v="Ajrakh Print Top"/>
    <n v="1799"/>
    <n v="1"/>
    <n v="1799"/>
    <s v="Nov15"/>
    <n v="15"/>
    <s v="UPI"/>
    <x v="2"/>
    <s v="Chandigarh"/>
    <s v="Punjab"/>
    <s v="Delhi"/>
    <d v="2024-11-20T00:00:00"/>
    <s v="Delivered"/>
    <x v="1"/>
    <x v="5"/>
    <d v="2024-12-19T00:00:00"/>
    <s v="Processed"/>
  </r>
  <r>
    <x v="156"/>
    <x v="39"/>
    <s v="CUST_10156"/>
    <x v="0"/>
    <s v="DRS-BLK-L"/>
    <x v="1"/>
    <s v="Block Print Dress"/>
    <n v="2599"/>
    <n v="1"/>
    <n v="2599"/>
    <s v=""/>
    <n v="0"/>
    <s v="Wallet"/>
    <x v="0"/>
    <s v="Noida"/>
    <s v="Uttar Pradesh"/>
    <s v="Delhi"/>
    <d v="2024-11-22T00:00:00"/>
    <s v="Delivered"/>
    <x v="0"/>
    <x v="2"/>
    <m/>
    <s v="Not Applicable"/>
  </r>
  <r>
    <x v="157"/>
    <x v="39"/>
    <s v="CUST_10157"/>
    <x v="1"/>
    <s v="BOT-TIE-S"/>
    <x v="2"/>
    <s v="Tie Dye Pants"/>
    <n v="1599"/>
    <n v="1"/>
    <n v="1599"/>
    <s v=""/>
    <n v="0"/>
    <s v="Credit Card"/>
    <x v="1"/>
    <s v="Gurgaon"/>
    <s v="Haryana"/>
    <s v="Delhi"/>
    <d v="2024-11-20T00:00:00"/>
    <s v="Delivered"/>
    <x v="1"/>
    <x v="4"/>
    <d v="2024-12-18T00:00:00"/>
    <s v="Processed"/>
  </r>
  <r>
    <x v="158"/>
    <x v="39"/>
    <s v="CUST_10158"/>
    <x v="0"/>
    <s v="OUT-EMB-M"/>
    <x v="3"/>
    <s v="Embellished Jacket"/>
    <n v="5299"/>
    <n v="1"/>
    <n v="5299"/>
    <s v="Nov15"/>
    <n v="15"/>
    <s v="Debit Card"/>
    <x v="2"/>
    <s v="Indore"/>
    <s v="Madhya Pradesh"/>
    <s v="Mumbai"/>
    <d v="2024-11-23T00:00:00"/>
    <s v="Delivered"/>
    <x v="0"/>
    <x v="2"/>
    <m/>
    <s v="Not Applicable"/>
  </r>
  <r>
    <x v="159"/>
    <x v="40"/>
    <s v="CUST_10159"/>
    <x v="0"/>
    <s v="ACC-HRM-OS"/>
    <x v="4"/>
    <s v="Hair Clip Set"/>
    <n v="499"/>
    <n v="3"/>
    <n v="1497"/>
    <s v=""/>
    <n v="0"/>
    <s v="UPI"/>
    <x v="0"/>
    <s v="Surat"/>
    <s v="Gujarat"/>
    <s v="Mumbai"/>
    <d v="2024-11-21T00:00:00"/>
    <s v="Delivered"/>
    <x v="1"/>
    <x v="6"/>
    <d v="2024-12-19T00:00:00"/>
    <s v="Processed"/>
  </r>
  <r>
    <x v="160"/>
    <x v="40"/>
    <s v="CUST_10160"/>
    <x v="0"/>
    <s v="TOP-PRN-L"/>
    <x v="0"/>
    <s v="Printed Kurta"/>
    <n v="2099"/>
    <n v="1"/>
    <n v="2099"/>
    <s v=""/>
    <n v="0"/>
    <s v="COD"/>
    <x v="1"/>
    <s v="Patna"/>
    <s v="Bihar"/>
    <s v="Delhi"/>
    <m/>
    <s v="RTO"/>
    <x v="0"/>
    <x v="2"/>
    <m/>
    <s v="Not Applicable"/>
  </r>
  <r>
    <x v="161"/>
    <x v="40"/>
    <s v="CUST_10161"/>
    <x v="0"/>
    <s v="DRS-FLR-S"/>
    <x v="1"/>
    <s v="Floral Print Dress"/>
    <n v="2399"/>
    <n v="1"/>
    <n v="2399"/>
    <s v="Nov15"/>
    <n v="15"/>
    <s v="Credit Card"/>
    <x v="2"/>
    <s v="Bhopal"/>
    <s v="Madhya Pradesh"/>
    <s v="Mumbai"/>
    <d v="2024-11-24T00:00:00"/>
    <s v="Delivered"/>
    <x v="1"/>
    <x v="1"/>
    <d v="2024-12-22T00:00:00"/>
    <s v="Processed"/>
  </r>
  <r>
    <x v="162"/>
    <x v="41"/>
    <s v="CUST_10162"/>
    <x v="1"/>
    <s v="BOT-DOT-M"/>
    <x v="2"/>
    <s v="Polka Dot Pants"/>
    <n v="1799"/>
    <n v="1"/>
    <n v="1799"/>
    <s v=""/>
    <n v="0"/>
    <s v="Wallet"/>
    <x v="0"/>
    <s v="Nagpur"/>
    <s v="Maharashtra"/>
    <s v="Mumbai"/>
    <d v="2024-11-22T00:00:00"/>
    <s v="Delivered"/>
    <x v="0"/>
    <x v="2"/>
    <m/>
    <s v="Not Applicable"/>
  </r>
  <r>
    <x v="163"/>
    <x v="10"/>
    <s v="CUST_10163"/>
    <x v="0"/>
    <s v="OUT-STR-L"/>
    <x v="3"/>
    <s v="Striped Blazer"/>
    <n v="4199"/>
    <n v="1"/>
    <n v="4199"/>
    <s v=""/>
    <n v="0"/>
    <s v="UPI"/>
    <x v="1"/>
    <s v="Coimbatore"/>
    <s v="Tamil Nadu"/>
    <s v="Bangalore"/>
    <d v="2024-11-25T00:00:00"/>
    <s v="Delivered"/>
    <x v="1"/>
    <x v="3"/>
    <d v="2024-12-24T00:00:00"/>
    <s v="Processed"/>
  </r>
  <r>
    <x v="164"/>
    <x v="41"/>
    <s v="CUST_10164"/>
    <x v="0"/>
    <s v="ACC-TBR-OS"/>
    <x v="4"/>
    <s v="Tassel Earrings"/>
    <n v="699"/>
    <n v="2"/>
    <n v="1398"/>
    <s v=""/>
    <n v="0"/>
    <s v="Debit Card"/>
    <x v="2"/>
    <s v="Kochi"/>
    <s v="Kerala"/>
    <s v="Bangalore"/>
    <d v="2024-11-23T00:00:00"/>
    <s v="Delivered"/>
    <x v="0"/>
    <x v="2"/>
    <m/>
    <s v="Not Applicable"/>
  </r>
  <r>
    <x v="165"/>
    <x v="42"/>
    <s v="CUST_10165"/>
    <x v="0"/>
    <s v="TOP-SLV-S"/>
    <x v="0"/>
    <s v="Sleeve Detail Top"/>
    <n v="1599"/>
    <n v="1"/>
    <n v="1599"/>
    <s v="Nov15"/>
    <n v="15"/>
    <s v="Credit Card"/>
    <x v="0"/>
    <s v="Vizag"/>
    <s v="Andhra Pradesh"/>
    <s v="Bangalore"/>
    <d v="2024-11-24T00:00:00"/>
    <s v="Delivered"/>
    <x v="1"/>
    <x v="1"/>
    <d v="2024-12-23T00:00:00"/>
    <s v="Processed"/>
  </r>
  <r>
    <x v="166"/>
    <x v="42"/>
    <s v="CUST_10166"/>
    <x v="0"/>
    <s v="DRS-ASY-M"/>
    <x v="1"/>
    <s v="Asymmetric Dress"/>
    <n v="2899"/>
    <n v="1"/>
    <n v="2899"/>
    <s v=""/>
    <n v="0"/>
    <s v="COD"/>
    <x v="1"/>
    <s v="Thiruvananthapuram"/>
    <s v="Kerala"/>
    <s v="Bangalore"/>
    <d v="2024-11-26T00:00:00"/>
    <s v="Delivered"/>
    <x v="1"/>
    <x v="5"/>
    <d v="2024-12-25T00:00:00"/>
    <s v="Processed"/>
  </r>
  <r>
    <x v="167"/>
    <x v="42"/>
    <s v="CUST_10167"/>
    <x v="1"/>
    <s v="BOT-FRN-L"/>
    <x v="2"/>
    <s v="Fringe Pants"/>
    <n v="2199"/>
    <n v="1"/>
    <n v="2199"/>
    <s v=""/>
    <n v="0"/>
    <s v="UPI"/>
    <x v="2"/>
    <s v="Mysore"/>
    <s v="Karnataka"/>
    <s v="Bangalore"/>
    <d v="2024-11-24T00:00:00"/>
    <s v="Delivered"/>
    <x v="0"/>
    <x v="2"/>
    <m/>
    <s v="Not Applicable"/>
  </r>
  <r>
    <x v="168"/>
    <x v="43"/>
    <s v="CUST_10168"/>
    <x v="0"/>
    <s v="OUT-TWD-M"/>
    <x v="3"/>
    <s v="Tweed Jacket"/>
    <n v="5599"/>
    <n v="1"/>
    <n v="5599"/>
    <s v=""/>
    <n v="0"/>
    <s v="Credit Card"/>
    <x v="0"/>
    <s v="Vadodara"/>
    <s v="Gujarat"/>
    <s v="Mumbai"/>
    <d v="2024-11-27T00:00:00"/>
    <s v="Delivered"/>
    <x v="1"/>
    <x v="4"/>
    <d v="2024-12-26T00:00:00"/>
    <s v="Processed"/>
  </r>
  <r>
    <x v="169"/>
    <x v="43"/>
    <s v="CUST_10169"/>
    <x v="0"/>
    <s v="ACC-PIN-OS"/>
    <x v="4"/>
    <s v="Brooch Pin"/>
    <n v="399"/>
    <n v="2"/>
    <n v="798"/>
    <s v="Nov15"/>
    <n v="15"/>
    <s v="Wallet"/>
    <x v="1"/>
    <s v="Rajkot"/>
    <s v="Gujarat"/>
    <s v="Mumbai"/>
    <d v="2024-11-25T00:00:00"/>
    <s v="Delivered"/>
    <x v="0"/>
    <x v="2"/>
    <m/>
    <s v="Not Applicable"/>
  </r>
  <r>
    <x v="170"/>
    <x v="43"/>
    <s v="CUST_10170"/>
    <x v="0"/>
    <s v="TOP-MCR-M"/>
    <x v="0"/>
    <s v="Macrame Top"/>
    <n v="1899"/>
    <n v="1"/>
    <n v="1899"/>
    <s v=""/>
    <n v="0"/>
    <s v="Debit Card"/>
    <x v="2"/>
    <s v="Kanpur"/>
    <s v="Uttar Pradesh"/>
    <s v="Delhi"/>
    <d v="2024-11-26T00:00:00"/>
    <s v="Delivered"/>
    <x v="1"/>
    <x v="3"/>
    <d v="2024-12-24T00:00:00"/>
    <s v="Processed"/>
  </r>
  <r>
    <x v="171"/>
    <x v="44"/>
    <s v="CUST_10171"/>
    <x v="0"/>
    <s v="DRS-PLT-S"/>
    <x v="1"/>
    <s v="Pleated Midi Dress"/>
    <n v="2699"/>
    <n v="1"/>
    <n v="2699"/>
    <s v=""/>
    <n v="0"/>
    <s v="UPI"/>
    <x v="0"/>
    <s v="Mumbai"/>
    <s v="Maharashtra"/>
    <s v="Mumbai"/>
    <d v="2024-11-28T00:00:00"/>
    <s v="Delivered"/>
    <x v="0"/>
    <x v="2"/>
    <m/>
    <s v="Not Applicable"/>
  </r>
  <r>
    <x v="172"/>
    <x v="44"/>
    <s v="CUST_10172"/>
    <x v="1"/>
    <s v="BOT-VLT-L"/>
    <x v="2"/>
    <s v="Velvet Pants"/>
    <n v="2499"/>
    <n v="1"/>
    <n v="2499"/>
    <s v="Nov15"/>
    <n v="15"/>
    <s v="Credit Card"/>
    <x v="1"/>
    <s v="Delhi"/>
    <s v="Delhi"/>
    <s v="Delhi"/>
    <d v="2024-11-26T00:00:00"/>
    <s v="Delivered"/>
    <x v="1"/>
    <x v="1"/>
    <d v="2024-12-25T00:00:00"/>
    <s v="Processed"/>
  </r>
  <r>
    <x v="173"/>
    <x v="44"/>
    <s v="CUST_10173"/>
    <x v="0"/>
    <s v="OUT-CHK-M"/>
    <x v="3"/>
    <s v="Check Coat"/>
    <n v="6299"/>
    <n v="1"/>
    <n v="6299"/>
    <s v=""/>
    <n v="0"/>
    <s v="COD"/>
    <x v="2"/>
    <s v="Kolkata"/>
    <s v="West Bengal"/>
    <s v="Delhi"/>
    <m/>
    <s v="RTO"/>
    <x v="0"/>
    <x v="2"/>
    <m/>
    <s v="Not Applicable"/>
  </r>
  <r>
    <x v="174"/>
    <x v="45"/>
    <s v="CUST_10174"/>
    <x v="0"/>
    <s v="ACC-WVN-OS"/>
    <x v="4"/>
    <s v="Woven Bag"/>
    <n v="1599"/>
    <n v="1"/>
    <n v="1599"/>
    <s v=""/>
    <n v="0"/>
    <s v="Wallet"/>
    <x v="0"/>
    <s v="Chennai"/>
    <s v="Tamil Nadu"/>
    <s v="Bangalore"/>
    <d v="2024-11-27T00:00:00"/>
    <s v="Delivered"/>
    <x v="1"/>
    <x v="6"/>
    <d v="2024-12-26T00:00:00"/>
    <s v="Processed"/>
  </r>
  <r>
    <x v="175"/>
    <x v="45"/>
    <s v="CUST_10175"/>
    <x v="0"/>
    <s v="TOP-BLN-L"/>
    <x v="0"/>
    <s v="Balloon Sleeve Top"/>
    <n v="1699"/>
    <n v="1"/>
    <n v="1699"/>
    <s v=""/>
    <n v="0"/>
    <s v="UPI"/>
    <x v="1"/>
    <s v="Hyderabad"/>
    <s v="Telangana"/>
    <s v="Bangalore"/>
    <d v="2024-11-28T00:00:00"/>
    <s v="Delivered"/>
    <x v="0"/>
    <x v="2"/>
    <m/>
    <s v="Not Applicable"/>
  </r>
  <r>
    <x v="176"/>
    <x v="45"/>
    <s v="CUST_10176"/>
    <x v="0"/>
    <s v="DRS-CRO-S"/>
    <x v="1"/>
    <s v="Crochet Dress"/>
    <n v="3199"/>
    <n v="1"/>
    <n v="3199"/>
    <s v="Nov15"/>
    <n v="15"/>
    <s v="Debit Card"/>
    <x v="2"/>
    <s v="Pune"/>
    <s v="Maharashtra"/>
    <s v="Mumbai"/>
    <d v="2024-11-29T00:00:00"/>
    <s v="Delivered"/>
    <x v="1"/>
    <x v="1"/>
    <d v="2024-12-28T00:00:00"/>
    <s v="Processed"/>
  </r>
  <r>
    <x v="177"/>
    <x v="46"/>
    <s v="CUST_10177"/>
    <x v="1"/>
    <s v="BOT-PTW-M"/>
    <x v="2"/>
    <s v="Patchwork Pants"/>
    <n v="2099"/>
    <n v="1"/>
    <n v="2099"/>
    <s v=""/>
    <n v="0"/>
    <s v="Credit Card"/>
    <x v="0"/>
    <s v="Ahmedabad"/>
    <s v="Gujarat"/>
    <s v="Mumbai"/>
    <d v="2024-11-28T00:00:00"/>
    <s v="Delivered"/>
    <x v="0"/>
    <x v="2"/>
    <m/>
    <s v="Not Applicable"/>
  </r>
  <r>
    <x v="178"/>
    <x v="46"/>
    <s v="CUST_10178"/>
    <x v="0"/>
    <s v="OUT-HRN-L"/>
    <x v="3"/>
    <s v="Herringbone Coat"/>
    <n v="6999"/>
    <n v="1"/>
    <n v="6999"/>
    <s v=""/>
    <n v="0"/>
    <s v="UPI"/>
    <x v="1"/>
    <s v="Jaipur"/>
    <s v="Rajasthan"/>
    <s v="Delhi"/>
    <d v="2024-11-30T00:00:00"/>
    <s v="Delivered"/>
    <x v="1"/>
    <x v="5"/>
    <d v="2024-12-29T00:00:00"/>
    <s v="Processed"/>
  </r>
  <r>
    <x v="179"/>
    <x v="46"/>
    <s v="CUST_10179"/>
    <x v="0"/>
    <s v="ACC-MTL-OS"/>
    <x v="4"/>
    <s v="Metal Belt"/>
    <n v="899"/>
    <n v="1"/>
    <n v="899"/>
    <s v=""/>
    <n v="0"/>
    <s v="COD"/>
    <x v="2"/>
    <s v="Lucknow"/>
    <s v="Uttar Pradesh"/>
    <s v="Delhi"/>
    <d v="2024-11-28T00:00:00"/>
    <s v="Delivered"/>
    <x v="1"/>
    <x v="4"/>
    <d v="2024-12-27T00:00:00"/>
    <s v="Processed"/>
  </r>
  <r>
    <x v="180"/>
    <x v="47"/>
    <s v="CUST_10180"/>
    <x v="0"/>
    <s v="TOP-RCH-S"/>
    <x v="0"/>
    <s v="Rouched Top"/>
    <n v="1499"/>
    <n v="1"/>
    <n v="1499"/>
    <s v="Nov15"/>
    <n v="15"/>
    <s v="Wallet"/>
    <x v="0"/>
    <s v="Bangalore"/>
    <s v="Karnataka"/>
    <s v="Bangalore"/>
    <d v="2024-11-29T00:00:00"/>
    <s v="Delivered"/>
    <x v="0"/>
    <x v="2"/>
    <m/>
    <s v="Not Applicable"/>
  </r>
  <r>
    <x v="181"/>
    <x v="47"/>
    <s v="CUST_10181"/>
    <x v="0"/>
    <s v="DRS-TRF-M"/>
    <x v="1"/>
    <s v="Tiered Ruffle Dress"/>
    <n v="2999"/>
    <n v="1"/>
    <n v="2999"/>
    <s v=""/>
    <n v="0"/>
    <s v="Debit Card"/>
    <x v="1"/>
    <s v="Mumbai"/>
    <s v="Maharashtra"/>
    <s v="Mumbai"/>
    <d v="2024-12-01T00:00:00"/>
    <s v="Delivered"/>
    <x v="1"/>
    <x v="3"/>
    <d v="2024-12-30T00:00:00"/>
    <s v="Processed"/>
  </r>
  <r>
    <x v="182"/>
    <x v="47"/>
    <s v="CUST_10182"/>
    <x v="1"/>
    <s v="BOT-BND-L"/>
    <x v="2"/>
    <s v="Banded Pants"/>
    <n v="1899"/>
    <n v="1"/>
    <n v="1899"/>
    <s v=""/>
    <n v="0"/>
    <s v="Credit Card"/>
    <x v="2"/>
    <s v="Delhi"/>
    <s v="Delhi"/>
    <s v="Delhi"/>
    <d v="2024-11-29T00:00:00"/>
    <s v="Delivered"/>
    <x v="0"/>
    <x v="2"/>
    <m/>
    <s v="Not Applicable"/>
  </r>
  <r>
    <x v="183"/>
    <x v="48"/>
    <s v="CUST_10183"/>
    <x v="0"/>
    <s v="OUT-CML-M"/>
    <x v="3"/>
    <s v="Camel Coat"/>
    <n v="7499"/>
    <n v="1"/>
    <n v="7499"/>
    <s v=""/>
    <n v="0"/>
    <s v="UPI"/>
    <x v="0"/>
    <s v="Chandigarh"/>
    <s v="Punjab"/>
    <s v="Delhi"/>
    <d v="2024-12-02T00:00:00"/>
    <s v="Delivered"/>
    <x v="1"/>
    <x v="1"/>
    <d v="2024-12-31T00:00:00"/>
    <s v="Processed"/>
  </r>
  <r>
    <x v="184"/>
    <x v="48"/>
    <s v="CUST_10184"/>
    <x v="0"/>
    <s v="ACC-STN-OS"/>
    <x v="4"/>
    <s v="Stone Necklace"/>
    <n v="1299"/>
    <n v="1"/>
    <n v="1299"/>
    <s v="Nov15"/>
    <n v="15"/>
    <s v="COD"/>
    <x v="1"/>
    <s v="Noida"/>
    <s v="Uttar Pradesh"/>
    <s v="Delhi"/>
    <d v="2024-11-30T00:00:00"/>
    <s v="Delivered"/>
    <x v="0"/>
    <x v="2"/>
    <m/>
    <s v="Not Applicable"/>
  </r>
  <r>
    <x v="185"/>
    <x v="48"/>
    <s v="CUST_10185"/>
    <x v="0"/>
    <s v="TOP-KNT-M"/>
    <x v="0"/>
    <s v="Knotted Top"/>
    <n v="1599"/>
    <n v="1"/>
    <n v="1599"/>
    <s v=""/>
    <n v="0"/>
    <s v="Credit Card"/>
    <x v="2"/>
    <s v="Gurgaon"/>
    <s v="Haryana"/>
    <s v="Delhi"/>
    <d v="2024-12-01T00:00:00"/>
    <s v="Delivered"/>
    <x v="1"/>
    <x v="6"/>
    <d v="2024-12-29T00:00:00"/>
    <s v="Processed"/>
  </r>
  <r>
    <x v="186"/>
    <x v="49"/>
    <s v="CUST_10186"/>
    <x v="0"/>
    <s v="DRS-SQN-L"/>
    <x v="1"/>
    <s v="Sequin Midi Dress"/>
    <n v="3799"/>
    <n v="1"/>
    <n v="3799"/>
    <s v=""/>
    <n v="0"/>
    <s v="Wallet"/>
    <x v="0"/>
    <s v="Indore"/>
    <s v="Madhya Pradesh"/>
    <s v="Mumbai"/>
    <d v="2024-12-03T00:00:00"/>
    <s v="Delivered"/>
    <x v="0"/>
    <x v="2"/>
    <m/>
    <s v="Not Applicable"/>
  </r>
  <r>
    <x v="187"/>
    <x v="49"/>
    <s v="CUST_10187"/>
    <x v="1"/>
    <s v="BOT-GLT-S"/>
    <x v="2"/>
    <s v="Glitter Pants"/>
    <n v="2299"/>
    <n v="1"/>
    <n v="2299"/>
    <s v=""/>
    <n v="0"/>
    <s v="UPI"/>
    <x v="1"/>
    <s v="Surat"/>
    <s v="Gujarat"/>
    <s v="Mumbai"/>
    <d v="2024-12-01T00:00:00"/>
    <s v="Delivered"/>
    <x v="1"/>
    <x v="1"/>
    <d v="2024-12-30T00:00:00"/>
    <s v="Processed"/>
  </r>
  <r>
    <x v="188"/>
    <x v="49"/>
    <s v="CUST_10188"/>
    <x v="0"/>
    <s v="OUT-FXF-M"/>
    <x v="3"/>
    <s v="Faux Fur Jacket"/>
    <n v="5999"/>
    <n v="1"/>
    <n v="5999"/>
    <s v="Nov15"/>
    <n v="15"/>
    <s v="Debit Card"/>
    <x v="2"/>
    <s v="Patna"/>
    <s v="Bihar"/>
    <s v="Delhi"/>
    <d v="2024-12-04T00:00:00"/>
    <s v="Delivered"/>
    <x v="1"/>
    <x v="5"/>
    <d v="2025-01-02T00:00:00"/>
    <s v="Processed"/>
  </r>
  <r>
    <x v="189"/>
    <x v="50"/>
    <s v="CUST_10189"/>
    <x v="0"/>
    <s v="ACC-CHM-OS"/>
    <x v="4"/>
    <s v="Charm Anklet"/>
    <n v="499"/>
    <n v="2"/>
    <n v="998"/>
    <s v=""/>
    <n v="0"/>
    <s v="Credit Card"/>
    <x v="0"/>
    <s v="Bhopal"/>
    <s v="Madhya Pradesh"/>
    <s v="Mumbai"/>
    <d v="2024-12-02T00:00:00"/>
    <s v="Delivered"/>
    <x v="0"/>
    <x v="2"/>
    <m/>
    <s v="Not Applicable"/>
  </r>
  <r>
    <x v="190"/>
    <x v="50"/>
    <s v="CUST_10190"/>
    <x v="0"/>
    <s v="TOP-TXD-L"/>
    <x v="0"/>
    <s v="Textured Top"/>
    <n v="1799"/>
    <n v="1"/>
    <n v="1799"/>
    <s v=""/>
    <n v="0"/>
    <s v="COD"/>
    <x v="1"/>
    <s v="Nagpur"/>
    <s v="Maharashtra"/>
    <s v="Mumbai"/>
    <m/>
    <s v="RTO"/>
    <x v="0"/>
    <x v="2"/>
    <m/>
    <s v="Not Applicable"/>
  </r>
  <r>
    <x v="191"/>
    <x v="50"/>
    <s v="CUST_10191"/>
    <x v="0"/>
    <s v="DRS-VLR-S"/>
    <x v="1"/>
    <s v="Velour Dress"/>
    <n v="2999"/>
    <n v="1"/>
    <n v="2999"/>
    <s v=""/>
    <n v="0"/>
    <s v="UPI"/>
    <x v="2"/>
    <s v="Coimbatore"/>
    <s v="Tamil Nadu"/>
    <s v="Bangalore"/>
    <d v="2024-12-05T00:00:00"/>
    <s v="Delivered"/>
    <x v="1"/>
    <x v="4"/>
    <d v="2025-01-03T00:00:00"/>
    <s v="Processed"/>
  </r>
  <r>
    <x v="192"/>
    <x v="51"/>
    <s v="CUST_10192"/>
    <x v="1"/>
    <s v="BOT-STN-M"/>
    <x v="2"/>
    <s v="Satin Pants"/>
    <n v="2199"/>
    <n v="1"/>
    <n v="2199"/>
    <s v="Nov15"/>
    <n v="15"/>
    <s v="Wallet"/>
    <x v="0"/>
    <s v="Kochi"/>
    <s v="Kerala"/>
    <s v="Bangalore"/>
    <d v="2024-12-03T00:00:00"/>
    <s v="Delivered"/>
    <x v="0"/>
    <x v="2"/>
    <m/>
    <s v="Not Applicable"/>
  </r>
  <r>
    <x v="193"/>
    <x v="51"/>
    <s v="CUST_10193"/>
    <x v="0"/>
    <s v="OUT-SHN-L"/>
    <x v="3"/>
    <s v="Shiny Jacket"/>
    <n v="4899"/>
    <n v="1"/>
    <n v="4899"/>
    <s v=""/>
    <n v="0"/>
    <s v="Debit Card"/>
    <x v="1"/>
    <s v="Vizag"/>
    <s v="Andhra Pradesh"/>
    <s v="Bangalore"/>
    <d v="2024-12-06T00:00:00"/>
    <s v="Delivered"/>
    <x v="1"/>
    <x v="3"/>
    <d v="2025-01-04T00:00:00"/>
    <s v="Processed"/>
  </r>
  <r>
    <x v="194"/>
    <x v="51"/>
    <s v="CUST_10194"/>
    <x v="0"/>
    <s v="ACC-PRL-OS"/>
    <x v="4"/>
    <s v="Pearl Earrings"/>
    <n v="799"/>
    <n v="1"/>
    <n v="799"/>
    <s v=""/>
    <n v="0"/>
    <s v="Credit Card"/>
    <x v="2"/>
    <s v="Thiruvananthapuram"/>
    <s v="Kerala"/>
    <s v="Bangalore"/>
    <d v="2024-12-04T00:00:00"/>
    <s v="Delivered"/>
    <x v="0"/>
    <x v="2"/>
    <m/>
    <s v="Not Applicable"/>
  </r>
  <r>
    <x v="195"/>
    <x v="52"/>
    <s v="CUST_10195"/>
    <x v="0"/>
    <s v="TOP-MTL-S"/>
    <x v="0"/>
    <s v="Metallic Top"/>
    <n v="1999"/>
    <n v="1"/>
    <n v="1999"/>
    <s v=""/>
    <n v="0"/>
    <s v="UPI"/>
    <x v="0"/>
    <s v="Mysore"/>
    <s v="Karnataka"/>
    <s v="Bangalore"/>
    <d v="2024-12-05T00:00:00"/>
    <s v="Delivered"/>
    <x v="1"/>
    <x v="1"/>
    <d v="2025-01-03T00:00:00"/>
    <s v="Processed"/>
  </r>
  <r>
    <x v="196"/>
    <x v="52"/>
    <s v="CUST_10196"/>
    <x v="0"/>
    <s v="DRS-GLM-M"/>
    <x v="1"/>
    <s v="Glamour Dress"/>
    <n v="3499"/>
    <n v="1"/>
    <n v="3499"/>
    <s v="Nov15"/>
    <n v="15"/>
    <s v="COD"/>
    <x v="1"/>
    <s v="Vadodara"/>
    <s v="Gujarat"/>
    <s v="Mumbai"/>
    <d v="2024-12-07T00:00:00"/>
    <s v="Delivered"/>
    <x v="1"/>
    <x v="5"/>
    <d v="2025-01-05T00:00:00"/>
    <s v="Processed"/>
  </r>
  <r>
    <x v="197"/>
    <x v="52"/>
    <s v="CUST_10197"/>
    <x v="1"/>
    <s v="BOT-LME-L"/>
    <x v="2"/>
    <s v="Lame Pants"/>
    <n v="2599"/>
    <n v="1"/>
    <n v="2599"/>
    <s v=""/>
    <n v="0"/>
    <s v="Credit Card"/>
    <x v="2"/>
    <s v="Rajkot"/>
    <s v="Gujarat"/>
    <s v="Mumbai"/>
    <d v="2024-12-05T00:00:00"/>
    <s v="Delivered"/>
    <x v="0"/>
    <x v="2"/>
    <m/>
    <s v="Not Applicable"/>
  </r>
  <r>
    <x v="198"/>
    <x v="53"/>
    <s v="CUST_10198"/>
    <x v="0"/>
    <s v="OUT-SPK-M"/>
    <x v="3"/>
    <s v="Sparkle Jacket"/>
    <n v="5499"/>
    <n v="1"/>
    <n v="5499"/>
    <s v=""/>
    <n v="0"/>
    <s v="Wallet"/>
    <x v="0"/>
    <s v="Kanpur"/>
    <s v="Uttar Pradesh"/>
    <s v="Delhi"/>
    <d v="2024-12-08T00:00:00"/>
    <s v="Delivered"/>
    <x v="1"/>
    <x v="4"/>
    <d v="2025-01-06T00:00:00"/>
    <s v="Processed"/>
  </r>
  <r>
    <x v="199"/>
    <x v="53"/>
    <s v="CUST_10199"/>
    <x v="0"/>
    <s v="ACC-CRY-OS"/>
    <x v="4"/>
    <s v="Crystal Bracelet"/>
    <n v="999"/>
    <n v="1"/>
    <n v="999"/>
    <s v=""/>
    <n v="0"/>
    <s v="Debit Card"/>
    <x v="1"/>
    <s v="Mumbai"/>
    <s v="Maharashtra"/>
    <s v="Mumbai"/>
    <d v="2024-12-06T00:00:00"/>
    <s v="Delivered"/>
    <x v="0"/>
    <x v="2"/>
    <m/>
    <s v="Not Applicable"/>
  </r>
  <r>
    <x v="200"/>
    <x v="53"/>
    <s v="CUST_10200"/>
    <x v="0"/>
    <s v="TOP-SHR-L"/>
    <x v="0"/>
    <s v="Sheer Top"/>
    <n v="1699"/>
    <n v="1"/>
    <n v="1699"/>
    <s v="Nov15"/>
    <n v="15"/>
    <s v="UPI"/>
    <x v="2"/>
    <s v="Delhi"/>
    <s v="Delhi"/>
    <s v="Delhi"/>
    <d v="2024-12-07T00:00:00"/>
    <s v="Delivered"/>
    <x v="1"/>
    <x v="6"/>
    <d v="2025-01-05T00:00:00"/>
    <s v="Processed"/>
  </r>
  <r>
    <x v="201"/>
    <x v="54"/>
    <s v="CUST_10201"/>
    <x v="0"/>
    <s v="DRS-CHF-S"/>
    <x v="1"/>
    <s v="Chiffon Dress"/>
    <n v="2799"/>
    <n v="1"/>
    <n v="2799"/>
    <s v=""/>
    <n v="0"/>
    <s v="Credit Card"/>
    <x v="0"/>
    <s v="Kolkata"/>
    <s v="West Bengal"/>
    <s v="Delhi"/>
    <d v="2024-12-09T00:00:00"/>
    <s v="Delivered"/>
    <x v="0"/>
    <x v="2"/>
    <m/>
    <s v="Not Applicable"/>
  </r>
  <r>
    <x v="202"/>
    <x v="54"/>
    <s v="CUST_10202"/>
    <x v="1"/>
    <s v="BOT-ORG-M"/>
    <x v="2"/>
    <s v="Organza Pants"/>
    <n v="2399"/>
    <n v="1"/>
    <n v="2399"/>
    <s v=""/>
    <n v="0"/>
    <s v="COD"/>
    <x v="1"/>
    <s v="Chennai"/>
    <s v="Tamil Nadu"/>
    <s v="Bangalore"/>
    <d v="2024-12-07T00:00:00"/>
    <s v="Delivered"/>
    <x v="1"/>
    <x v="3"/>
    <d v="2025-01-04T00:00:00"/>
    <s v="Processed"/>
  </r>
  <r>
    <x v="203"/>
    <x v="54"/>
    <s v="CUST_10203"/>
    <x v="0"/>
    <s v="OUT-MET-L"/>
    <x v="3"/>
    <s v="Metallic Coat"/>
    <n v="6799"/>
    <n v="1"/>
    <n v="6799"/>
    <s v=""/>
    <n v="0"/>
    <s v="UPI"/>
    <x v="2"/>
    <s v="Hyderabad"/>
    <s v="Telangana"/>
    <s v="Bangalore"/>
    <d v="2024-12-10T00:00:00"/>
    <s v="Delivered"/>
    <x v="1"/>
    <x v="1"/>
    <d v="2025-01-08T00:00:00"/>
    <s v="Processed"/>
  </r>
  <r>
    <x v="204"/>
    <x v="55"/>
    <s v="CUST_10204"/>
    <x v="0"/>
    <s v="ACC-DMD-OS"/>
    <x v="4"/>
    <s v="Diamond Studs"/>
    <n v="1499"/>
    <n v="1"/>
    <n v="1499"/>
    <s v="Nov15"/>
    <n v="15"/>
    <s v="Wallet"/>
    <x v="0"/>
    <s v="Pune"/>
    <s v="Maharashtra"/>
    <s v="Mumbai"/>
    <d v="2024-12-08T00:00:00"/>
    <s v="Delivered"/>
    <x v="0"/>
    <x v="2"/>
    <m/>
    <s v="Not Applicable"/>
  </r>
  <r>
    <x v="205"/>
    <x v="55"/>
    <s v="CUST_10205"/>
    <x v="0"/>
    <s v="TOP-BDS-M"/>
    <x v="0"/>
    <s v="Beaded Top"/>
    <n v="2299"/>
    <n v="1"/>
    <n v="2299"/>
    <s v=""/>
    <n v="0"/>
    <s v="Debit Card"/>
    <x v="1"/>
    <s v="Ahmedabad"/>
    <s v="Gujarat"/>
    <s v="Mumbai"/>
    <d v="2024-12-09T00:00:00"/>
    <s v="Delivered"/>
    <x v="1"/>
    <x v="5"/>
    <d v="2025-01-07T00:00:00"/>
    <s v="Processed"/>
  </r>
  <r>
    <x v="206"/>
    <x v="55"/>
    <s v="CUST_10206"/>
    <x v="0"/>
    <s v="DRS-SPL-L"/>
    <x v="1"/>
    <s v="Sparkle Gown"/>
    <n v="4999"/>
    <n v="1"/>
    <n v="4999"/>
    <s v=""/>
    <n v="0"/>
    <s v="Credit Card"/>
    <x v="2"/>
    <s v="Jaipur"/>
    <s v="Rajasthan"/>
    <s v="Delhi"/>
    <d v="2024-12-11T00:00:00"/>
    <s v="Delivered"/>
    <x v="0"/>
    <x v="2"/>
    <m/>
    <s v="Not Applicable"/>
  </r>
  <r>
    <x v="207"/>
    <x v="56"/>
    <s v="CUST_10207"/>
    <x v="1"/>
    <s v="BOT-EMB-S"/>
    <x v="2"/>
    <s v="Embroidered Pants"/>
    <n v="2099"/>
    <n v="1"/>
    <n v="2099"/>
    <s v=""/>
    <n v="0"/>
    <s v="UPI"/>
    <x v="0"/>
    <s v="Lucknow"/>
    <s v="Uttar Pradesh"/>
    <s v="Delhi"/>
    <d v="2024-12-09T00:00:00"/>
    <s v="Delivered"/>
    <x v="1"/>
    <x v="4"/>
    <d v="2025-01-06T00:00:00"/>
    <s v="Processed"/>
  </r>
  <r>
    <x v="208"/>
    <x v="56"/>
    <s v="CUST_10208"/>
    <x v="0"/>
    <s v="OUT-NYE-M"/>
    <x v="3"/>
    <s v="NYE Jacket"/>
    <n v="5799"/>
    <n v="1"/>
    <n v="5799"/>
    <s v="Nov15"/>
    <n v="15"/>
    <s v="COD"/>
    <x v="1"/>
    <s v="Bangalore"/>
    <s v="Karnataka"/>
    <s v="Bangalore"/>
    <d v="2024-12-12T00:00:00"/>
    <s v="Delivered"/>
    <x v="1"/>
    <x v="1"/>
    <d v="2025-01-10T00:00:00"/>
    <s v="Processed"/>
  </r>
  <r>
    <x v="209"/>
    <x v="56"/>
    <s v="CUST_10209"/>
    <x v="0"/>
    <s v="ACC-GLD-OS"/>
    <x v="4"/>
    <s v="Gold Cuff"/>
    <n v="1199"/>
    <n v="1"/>
    <n v="1199"/>
    <s v=""/>
    <n v="0"/>
    <s v="Credit Card"/>
    <x v="2"/>
    <s v="Mumbai"/>
    <s v="Maharashtra"/>
    <s v="Mumbai"/>
    <d v="2024-12-10T00:00:00"/>
    <s v="Delivered"/>
    <x v="0"/>
    <x v="2"/>
    <m/>
    <s v="Not Applicable"/>
  </r>
  <r>
    <x v="210"/>
    <x v="57"/>
    <s v="CUST_10210"/>
    <x v="0"/>
    <s v="TOP-FTR-S"/>
    <x v="0"/>
    <s v="Feather Top"/>
    <n v="1899"/>
    <n v="1"/>
    <n v="1899"/>
    <s v=""/>
    <n v="0"/>
    <s v="Wallet"/>
    <x v="0"/>
    <s v="Delhi"/>
    <s v="Delhi"/>
    <s v="Delhi"/>
    <d v="2024-12-11T00:00:00"/>
    <s v="Delivered"/>
    <x v="1"/>
    <x v="6"/>
    <d v="2025-01-08T00:00:00"/>
    <s v="Processed"/>
  </r>
  <r>
    <x v="211"/>
    <x v="57"/>
    <s v="CUST_10211"/>
    <x v="0"/>
    <s v="DRS-CCK-M"/>
    <x v="1"/>
    <s v="Cocktail Dress"/>
    <n v="3699"/>
    <n v="1"/>
    <n v="3699"/>
    <s v=""/>
    <n v="0"/>
    <s v="Debit Card"/>
    <x v="1"/>
    <s v="Chandigarh"/>
    <s v="Punjab"/>
    <s v="Delhi"/>
    <d v="2024-12-13T00:00:00"/>
    <s v="Delivered"/>
    <x v="0"/>
    <x v="2"/>
    <m/>
    <s v="Not Applicable"/>
  </r>
  <r>
    <x v="212"/>
    <x v="57"/>
    <s v="CUST_10212"/>
    <x v="1"/>
    <s v="BOT-SQN-L"/>
    <x v="2"/>
    <s v="Sequin Skirt"/>
    <n v="2699"/>
    <n v="1"/>
    <n v="2699"/>
    <s v="Nov15"/>
    <n v="15"/>
    <s v="UPI"/>
    <x v="2"/>
    <s v="Noida"/>
    <s v="Uttar Pradesh"/>
    <s v="Delhi"/>
    <d v="2024-12-11T00:00:00"/>
    <s v="Delivered"/>
    <x v="1"/>
    <x v="3"/>
    <d v="2025-01-09T00:00:00"/>
    <s v="Processed"/>
  </r>
  <r>
    <x v="213"/>
    <x v="58"/>
    <s v="CUST_10213"/>
    <x v="0"/>
    <s v="OUT-PRT-M"/>
    <x v="3"/>
    <s v="Party Jacket"/>
    <n v="4999"/>
    <n v="1"/>
    <n v="4999"/>
    <s v=""/>
    <n v="0"/>
    <s v="Credit Card"/>
    <x v="0"/>
    <s v="Gurgaon"/>
    <s v="Haryana"/>
    <s v="Delhi"/>
    <d v="2024-12-14T00:00:00"/>
    <s v="Delivered"/>
    <x v="1"/>
    <x v="1"/>
    <d v="2025-01-12T00:00:00"/>
    <s v="Processed"/>
  </r>
  <r>
    <x v="214"/>
    <x v="58"/>
    <s v="CUST_10214"/>
    <x v="0"/>
    <s v="ACC-SLV-OS"/>
    <x v="4"/>
    <s v="Silver Bangle"/>
    <n v="899"/>
    <n v="2"/>
    <n v="1798"/>
    <s v=""/>
    <n v="0"/>
    <s v="COD"/>
    <x v="1"/>
    <s v="Indore"/>
    <s v="Madhya Pradesh"/>
    <s v="Mumbai"/>
    <d v="2024-12-12T00:00:00"/>
    <s v="Delivered"/>
    <x v="0"/>
    <x v="2"/>
    <m/>
    <s v="Not Applicable"/>
  </r>
  <r>
    <x v="215"/>
    <x v="58"/>
    <s v="CUST_10215"/>
    <x v="0"/>
    <s v="TOP-GLT-L"/>
    <x v="0"/>
    <s v="Glitter Tank"/>
    <n v="1599"/>
    <n v="1"/>
    <n v="1599"/>
    <s v=""/>
    <n v="0"/>
    <s v="UPI"/>
    <x v="2"/>
    <s v="Surat"/>
    <s v="Gujarat"/>
    <s v="Mumbai"/>
    <d v="2024-12-13T00:00:00"/>
    <s v="Delivered"/>
    <x v="1"/>
    <x v="5"/>
    <d v="2025-01-10T00:00:00"/>
    <s v="Processed"/>
  </r>
  <r>
    <x v="216"/>
    <x v="59"/>
    <s v="CUST_10216"/>
    <x v="0"/>
    <s v="DRS-STR-S"/>
    <x v="1"/>
    <s v="Star Print Dress"/>
    <n v="2599"/>
    <n v="1"/>
    <n v="2599"/>
    <s v="Nov15"/>
    <n v="15"/>
    <s v="Wallet"/>
    <x v="0"/>
    <s v="Patna"/>
    <s v="Bihar"/>
    <s v="Delhi"/>
    <d v="2024-12-15T00:00:00"/>
    <s v="Delivered"/>
    <x v="0"/>
    <x v="2"/>
    <m/>
    <s v="Not Applicable"/>
  </r>
  <r>
    <x v="217"/>
    <x v="59"/>
    <s v="CUST_10217"/>
    <x v="1"/>
    <s v="BOT-MTL-M"/>
    <x v="2"/>
    <s v="Metallic Pants"/>
    <n v="2399"/>
    <n v="1"/>
    <n v="2399"/>
    <s v=""/>
    <n v="0"/>
    <s v="Debit Card"/>
    <x v="1"/>
    <s v="Bhopal"/>
    <s v="Madhya Pradesh"/>
    <s v="Mumbai"/>
    <d v="2024-12-13T00:00:00"/>
    <s v="Delivered"/>
    <x v="1"/>
    <x v="4"/>
    <d v="2025-01-11T00:00:00"/>
    <s v="Processed"/>
  </r>
  <r>
    <x v="218"/>
    <x v="59"/>
    <s v="CUST_10218"/>
    <x v="0"/>
    <s v="OUT-FRM-L"/>
    <x v="3"/>
    <s v="Formal Coat"/>
    <n v="6499"/>
    <n v="1"/>
    <n v="6499"/>
    <s v=""/>
    <n v="0"/>
    <s v="Credit Card"/>
    <x v="2"/>
    <s v="Nagpur"/>
    <s v="Maharashtra"/>
    <s v="Mumbai"/>
    <d v="2024-12-16T00:00:00"/>
    <s v="Delivered"/>
    <x v="1"/>
    <x v="1"/>
    <d v="2025-01-14T00:00:00"/>
    <s v="Processed"/>
  </r>
  <r>
    <x v="219"/>
    <x v="60"/>
    <s v="CUST_10219"/>
    <x v="0"/>
    <s v="ACC-RBN-OS"/>
    <x v="4"/>
    <s v="Ribbon Choker"/>
    <n v="499"/>
    <n v="2"/>
    <n v="998"/>
    <s v=""/>
    <n v="0"/>
    <s v="UPI"/>
    <x v="0"/>
    <s v="Coimbatore"/>
    <s v="Tamil Nadu"/>
    <s v="Bangalore"/>
    <d v="2024-12-14T00:00:00"/>
    <s v="Delivered"/>
    <x v="0"/>
    <x v="2"/>
    <m/>
    <s v="Not Applicable"/>
  </r>
  <r>
    <x v="220"/>
    <x v="60"/>
    <s v="CUST_10220"/>
    <x v="0"/>
    <s v="TOP-VNY-M"/>
    <x v="0"/>
    <s v="Vinyl Top"/>
    <n v="1999"/>
    <n v="1"/>
    <n v="1999"/>
    <s v=""/>
    <n v="0"/>
    <s v="COD"/>
    <x v="1"/>
    <s v="Kochi"/>
    <s v="Kerala"/>
    <s v="Bangalore"/>
    <m/>
    <s v="RTO"/>
    <x v="0"/>
    <x v="2"/>
    <m/>
    <s v="Not Applicable"/>
  </r>
  <r>
    <x v="221"/>
    <x v="60"/>
    <s v="CUST_10221"/>
    <x v="0"/>
    <s v="DRS-NYE-L"/>
    <x v="1"/>
    <s v="New Year Gown"/>
    <n v="5499"/>
    <n v="1"/>
    <n v="5499"/>
    <s v="Nov15"/>
    <n v="15"/>
    <s v="Credit Card"/>
    <x v="2"/>
    <s v="Vizag"/>
    <s v="Andhra Pradesh"/>
    <s v="Bangalore"/>
    <d v="2024-12-17T00:00:00"/>
    <s v="Delivered"/>
    <x v="1"/>
    <x v="3"/>
    <d v="2025-01-15T00:00:00"/>
    <s v="Processed"/>
  </r>
  <r>
    <x v="222"/>
    <x v="61"/>
    <s v="CUST_10222"/>
    <x v="1"/>
    <s v="BOT-LTX-S"/>
    <x v="2"/>
    <s v="Latex Pants"/>
    <n v="2799"/>
    <n v="1"/>
    <n v="2799"/>
    <s v=""/>
    <n v="0"/>
    <s v="Wallet"/>
    <x v="0"/>
    <s v="Thiruvananthapuram"/>
    <s v="Kerala"/>
    <s v="Bangalore"/>
    <d v="2024-12-15T00:00:00"/>
    <s v="Delivered"/>
    <x v="0"/>
    <x v="2"/>
    <m/>
    <s v="Not Applicable"/>
  </r>
  <r>
    <x v="223"/>
    <x v="61"/>
    <s v="CUST_10223"/>
    <x v="0"/>
    <s v="OUT-GLM-M"/>
    <x v="3"/>
    <s v="Glam Jacket"/>
    <n v="5299"/>
    <n v="1"/>
    <n v="5299"/>
    <s v=""/>
    <n v="0"/>
    <s v="Debit Card"/>
    <x v="1"/>
    <s v="Mysore"/>
    <s v="Karnataka"/>
    <s v="Bangalore"/>
    <d v="2024-12-18T00:00:00"/>
    <s v="Delivered"/>
    <x v="1"/>
    <x v="6"/>
    <d v="2025-01-16T00:00:00"/>
    <s v="Processed"/>
  </r>
  <r>
    <x v="224"/>
    <x v="61"/>
    <s v="CUST_10224"/>
    <x v="0"/>
    <s v="ACC-GEM-OS"/>
    <x v="4"/>
    <s v="Gemstone Ring"/>
    <n v="1099"/>
    <n v="1"/>
    <n v="1099"/>
    <s v=""/>
    <n v="0"/>
    <s v="UPI"/>
    <x v="2"/>
    <s v="Vadodara"/>
    <s v="Gujarat"/>
    <s v="Mumbai"/>
    <d v="2024-12-16T00:00:00"/>
    <s v="Delivered"/>
    <x v="1"/>
    <x v="1"/>
    <d v="2025-01-14T00:00:00"/>
    <s v="Processed"/>
  </r>
  <r>
    <x v="225"/>
    <x v="62"/>
    <s v="CUST_10225"/>
    <x v="0"/>
    <s v="TOP-HOD-L"/>
    <x v="0"/>
    <s v="Zip Hoodie"/>
    <n v="2499"/>
    <n v="1"/>
    <n v="2499"/>
    <s v="Dec20"/>
    <n v="20"/>
    <s v="Credit Card"/>
    <x v="0"/>
    <s v="Mumbai"/>
    <s v="Maharashtra"/>
    <s v="Mumbai"/>
    <d v="2024-12-06T00:00:00"/>
    <s v="Delivered"/>
    <x v="0"/>
    <x v="2"/>
    <m/>
    <s v="Not Applicable"/>
  </r>
  <r>
    <x v="226"/>
    <x v="62"/>
    <s v="CUST_10226"/>
    <x v="0"/>
    <s v="OUT-COT-M"/>
    <x v="3"/>
    <s v="Puffer Coat"/>
    <n v="6499"/>
    <n v="1"/>
    <n v="6499"/>
    <s v="Dec20"/>
    <n v="20"/>
    <s v="COD"/>
    <x v="1"/>
    <s v="Delhi"/>
    <s v="Delhi"/>
    <s v="Delhi"/>
    <d v="2024-12-08T00:00:00"/>
    <s v="Delivered"/>
    <x v="1"/>
    <x v="4"/>
    <d v="2024-12-28T00:00:00"/>
    <s v="Pending"/>
  </r>
  <r>
    <x v="227"/>
    <x v="62"/>
    <s v="CUST_10227"/>
    <x v="1"/>
    <s v="ACC-MFL-OS"/>
    <x v="4"/>
    <s v="Cashmere Scarf"/>
    <n v="1499"/>
    <n v="1"/>
    <n v="1499"/>
    <s v=""/>
    <n v="0"/>
    <s v="UPI"/>
    <x v="2"/>
    <s v="Chandigarh"/>
    <s v="Punjab"/>
    <s v="Delhi"/>
    <d v="2024-12-07T00:00:00"/>
    <s v="Delivered"/>
    <x v="0"/>
    <x v="2"/>
    <m/>
    <s v="Not Applicable"/>
  </r>
  <r>
    <x v="228"/>
    <x v="62"/>
    <s v="CUST_10228"/>
    <x v="0"/>
    <s v="DRS-PLT-M"/>
    <x v="1"/>
    <s v="Pleated Dress"/>
    <n v="2899"/>
    <n v="1"/>
    <n v="2899"/>
    <s v="Dec20"/>
    <n v="20"/>
    <s v="Debit Card"/>
    <x v="0"/>
    <s v="Amritsar"/>
    <s v="Punjab"/>
    <s v="Delhi"/>
    <d v="2024-12-09T00:00:00"/>
    <s v="Delivered"/>
    <x v="1"/>
    <x v="1"/>
    <d v="2024-12-30T00:00:00"/>
    <s v="Processed"/>
  </r>
  <r>
    <x v="229"/>
    <x v="63"/>
    <s v="CUST_10229"/>
    <x v="0"/>
    <s v="TOP-THR-L"/>
    <x v="0"/>
    <s v="Thermal Top"/>
    <n v="1599"/>
    <n v="2"/>
    <n v="3198"/>
    <s v=""/>
    <n v="0"/>
    <s v="Credit Card"/>
    <x v="1"/>
    <s v="Shimla"/>
    <s v="Himachal Pradesh"/>
    <s v="Delhi"/>
    <d v="2024-12-09T00:00:00"/>
    <s v="Delivered"/>
    <x v="0"/>
    <x v="2"/>
    <m/>
    <s v="Not Applicable"/>
  </r>
  <r>
    <x v="230"/>
    <x v="63"/>
    <s v="CUST_10230"/>
    <x v="0"/>
    <s v="BOT-FLC-M"/>
    <x v="2"/>
    <s v="Fleece Joggers"/>
    <n v="1799"/>
    <n v="1"/>
    <n v="1799"/>
    <s v="Dec20"/>
    <n v="20"/>
    <s v="Wallet"/>
    <x v="2"/>
    <s v="Dehradun"/>
    <s v="Uttarakhand"/>
    <s v="Delhi"/>
    <d v="2024-12-10T00:00:00"/>
    <s v="Delivered"/>
    <x v="0"/>
    <x v="2"/>
    <m/>
    <s v="Not Applicable"/>
  </r>
  <r>
    <x v="231"/>
    <x v="63"/>
    <s v="CUST_10231"/>
    <x v="0"/>
    <s v="OUT-WND-L"/>
    <x v="3"/>
    <s v="Windbreaker"/>
    <n v="3299"/>
    <n v="1"/>
    <n v="3299"/>
    <s v=""/>
    <n v="0"/>
    <s v="UPI"/>
    <x v="0"/>
    <s v="Srinagar"/>
    <s v="Jammu &amp; Kashmir"/>
    <s v="Delhi"/>
    <d v="2024-12-11T00:00:00"/>
    <s v="Delivered"/>
    <x v="1"/>
    <x v="5"/>
    <d v="2025-01-02T00:00:00"/>
    <s v="Pending"/>
  </r>
  <r>
    <x v="232"/>
    <x v="63"/>
    <s v="CUST_10232"/>
    <x v="1"/>
    <s v="ACC-BNE-OS"/>
    <x v="4"/>
    <s v="Beanie Cap"/>
    <n v="599"/>
    <n v="2"/>
    <n v="1198"/>
    <s v="Dec20"/>
    <n v="20"/>
    <s v="COD"/>
    <x v="1"/>
    <s v="Manali"/>
    <s v="Himachal Pradesh"/>
    <s v="Delhi"/>
    <d v="2024-12-10T00:00:00"/>
    <s v="Delivered"/>
    <x v="0"/>
    <x v="2"/>
    <m/>
    <s v="Not Applicable"/>
  </r>
  <r>
    <x v="233"/>
    <x v="64"/>
    <s v="CUST_10233"/>
    <x v="0"/>
    <s v="TOP-SWT-S"/>
    <x v="0"/>
    <s v="Cropped Sweater"/>
    <n v="2199"/>
    <n v="1"/>
    <n v="2199"/>
    <s v=""/>
    <n v="0"/>
    <s v="Debit Card"/>
    <x v="2"/>
    <s v="Darjeeling"/>
    <s v="West Bengal"/>
    <s v="Delhi"/>
    <d v="2024-12-12T00:00:00"/>
    <s v="Delivered"/>
    <x v="1"/>
    <x v="1"/>
    <d v="2025-01-03T00:00:00"/>
    <s v="Processed"/>
  </r>
  <r>
    <x v="234"/>
    <x v="64"/>
    <s v="CUST_10234"/>
    <x v="0"/>
    <s v="DRS-WRM-M"/>
    <x v="1"/>
    <s v="Wrap Dress"/>
    <n v="2499"/>
    <n v="1"/>
    <n v="2499"/>
    <s v="Dec20"/>
    <n v="20"/>
    <s v="Credit Card"/>
    <x v="0"/>
    <s v="Gangtok"/>
    <s v="Sikkim"/>
    <s v="Delhi"/>
    <d v="2024-12-12T00:00:00"/>
    <s v="Delivered"/>
    <x v="0"/>
    <x v="2"/>
    <m/>
    <s v="Not Applicable"/>
  </r>
  <r>
    <x v="235"/>
    <x v="64"/>
    <s v="CUST_10235"/>
    <x v="0"/>
    <s v="BOT-WOL-L"/>
    <x v="2"/>
    <s v="Wool Trousers"/>
    <n v="2999"/>
    <n v="1"/>
    <n v="2999"/>
    <s v=""/>
    <n v="0"/>
    <s v="UPI"/>
    <x v="1"/>
    <s v="Shillong"/>
    <s v="Meghalaya"/>
    <s v="Delhi"/>
    <d v="2024-12-14T00:00:00"/>
    <s v="Delivered"/>
    <x v="1"/>
    <x v="3"/>
    <d v="2025-01-05T00:00:00"/>
    <s v="Processed"/>
  </r>
  <r>
    <x v="236"/>
    <x v="64"/>
    <s v="CUST_10236"/>
    <x v="0"/>
    <s v="OUT-DWN-M"/>
    <x v="3"/>
    <s v="Down Jacket"/>
    <n v="7999"/>
    <n v="1"/>
    <n v="7999"/>
    <s v="Dec20"/>
    <n v="20"/>
    <s v="Wallet"/>
    <x v="2"/>
    <s v="Leh"/>
    <s v="Ladakh"/>
    <s v="Delhi"/>
    <d v="2024-12-14T00:00:00"/>
    <s v="Delivered"/>
    <x v="0"/>
    <x v="2"/>
    <m/>
    <s v="Not Applicable"/>
  </r>
  <r>
    <x v="237"/>
    <x v="65"/>
    <s v="CUST_10237"/>
    <x v="1"/>
    <s v="TOP-VLV-S"/>
    <x v="0"/>
    <s v="Velvet Top"/>
    <n v="1999"/>
    <n v="1"/>
    <n v="1999"/>
    <s v=""/>
    <n v="0"/>
    <s v="Credit Card"/>
    <x v="0"/>
    <s v="Ooty"/>
    <s v="Tamil Nadu"/>
    <s v="Bangalore"/>
    <d v="2024-12-13T00:00:00"/>
    <s v="Delivered"/>
    <x v="0"/>
    <x v="2"/>
    <m/>
    <s v="Not Applicable"/>
  </r>
  <r>
    <x v="238"/>
    <x v="65"/>
    <s v="CUST_10238"/>
    <x v="0"/>
    <s v="ACC-ERM-OS"/>
    <x v="4"/>
    <s v="Ear Muffs"/>
    <n v="499"/>
    <n v="2"/>
    <n v="998"/>
    <s v="Dec20"/>
    <n v="20"/>
    <s v="COD"/>
    <x v="1"/>
    <s v="Munnar"/>
    <s v="Kerala"/>
    <s v="Bangalore"/>
    <d v="2024-12-13T00:00:00"/>
    <s v="Delivered"/>
    <x v="0"/>
    <x v="2"/>
    <m/>
    <s v="Not Applicable"/>
  </r>
  <r>
    <x v="239"/>
    <x v="65"/>
    <s v="CUST_10239"/>
    <x v="0"/>
    <s v="DRS-NYE-S"/>
    <x v="1"/>
    <s v="Sequin Party Dress"/>
    <n v="4999"/>
    <n v="1"/>
    <n v="4999"/>
    <s v=""/>
    <n v="0"/>
    <s v="Debit Card"/>
    <x v="2"/>
    <s v="Goa"/>
    <s v="Goa"/>
    <s v="Mumbai"/>
    <d v="2024-12-14T00:00:00"/>
    <s v="Delivered"/>
    <x v="1"/>
    <x v="1"/>
    <d v="2025-01-06T00:00:00"/>
    <s v="Processed"/>
  </r>
  <r>
    <x v="240"/>
    <x v="65"/>
    <s v="CUST_10240"/>
    <x v="0"/>
    <s v="TOP-SPK-M"/>
    <x v="0"/>
    <s v="Sparkle Top"/>
    <n v="2299"/>
    <n v="1"/>
    <n v="2299"/>
    <s v="Dec20"/>
    <n v="20"/>
    <s v="UPI"/>
    <x v="0"/>
    <s v="Mumbai"/>
    <s v="Maharashtra"/>
    <s v="Mumbai"/>
    <d v="2024-12-13T00:00:00"/>
    <s v="Delivered"/>
    <x v="0"/>
    <x v="2"/>
    <m/>
    <s v="Not Applicable"/>
  </r>
  <r>
    <x v="241"/>
    <x v="66"/>
    <s v="CUST_10241"/>
    <x v="0"/>
    <s v="BOT-VLV-S"/>
    <x v="2"/>
    <s v="Velvet Pants"/>
    <n v="2599"/>
    <n v="1"/>
    <n v="2599"/>
    <s v=""/>
    <n v="0"/>
    <s v="Credit Card"/>
    <x v="1"/>
    <s v="Bangalore"/>
    <s v="Karnataka"/>
    <s v="Bangalore"/>
    <d v="2024-12-15T00:00:00"/>
    <s v="Delivered"/>
    <x v="1"/>
    <x v="4"/>
    <d v="2025-01-08T00:00:00"/>
    <s v="Processed"/>
  </r>
  <r>
    <x v="242"/>
    <x v="66"/>
    <s v="CUST_10242"/>
    <x v="1"/>
    <s v="OUT-FUR-L"/>
    <x v="3"/>
    <s v="Faux Fur Coat"/>
    <n v="8999"/>
    <n v="1"/>
    <n v="8999"/>
    <s v="Dec20"/>
    <n v="20"/>
    <s v="Wallet"/>
    <x v="2"/>
    <s v="Delhi"/>
    <s v="Delhi"/>
    <s v="Delhi"/>
    <d v="2024-12-17T00:00:00"/>
    <s v="Delivered"/>
    <x v="1"/>
    <x v="1"/>
    <d v="2025-01-10T00:00:00"/>
    <s v="Pending"/>
  </r>
  <r>
    <x v="243"/>
    <x v="66"/>
    <s v="CUST_10243"/>
    <x v="0"/>
    <s v="ACC-CLT-OS"/>
    <x v="4"/>
    <s v="Evening Clutch"/>
    <n v="1799"/>
    <n v="1"/>
    <n v="1799"/>
    <s v=""/>
    <n v="0"/>
    <s v="UPI"/>
    <x v="0"/>
    <s v="Hyderabad"/>
    <s v="Telangana"/>
    <s v="Bangalore"/>
    <d v="2024-12-16T00:00:00"/>
    <s v="Delivered"/>
    <x v="0"/>
    <x v="2"/>
    <m/>
    <s v="Not Applicable"/>
  </r>
  <r>
    <x v="244"/>
    <x v="66"/>
    <s v="CUST_10244"/>
    <x v="0"/>
    <s v="TOP-MET-S"/>
    <x v="0"/>
    <s v="Metallic Blouse"/>
    <n v="2199"/>
    <n v="1"/>
    <n v="2199"/>
    <s v=""/>
    <n v="0"/>
    <s v="Debit Card"/>
    <x v="1"/>
    <s v="Chennai"/>
    <s v="Tamil Nadu"/>
    <s v="Bangalore"/>
    <d v="2024-12-16T00:00:00"/>
    <s v="Delivered"/>
    <x v="0"/>
    <x v="2"/>
    <m/>
    <s v="Not Applicable"/>
  </r>
  <r>
    <x v="245"/>
    <x v="67"/>
    <s v="CUST_10245"/>
    <x v="0"/>
    <s v="DRS-GLT-M"/>
    <x v="1"/>
    <s v="Glitter Dress"/>
    <n v="3799"/>
    <n v="1"/>
    <n v="3799"/>
    <s v="Dec20"/>
    <n v="20"/>
    <s v="COD"/>
    <x v="2"/>
    <s v="Pune"/>
    <s v="Maharashtra"/>
    <s v="Mumbai"/>
    <d v="2024-12-18T00:00:00"/>
    <s v="Delivered"/>
    <x v="1"/>
    <x v="3"/>
    <d v="2025-01-12T00:00:00"/>
    <s v="Processed"/>
  </r>
  <r>
    <x v="246"/>
    <x v="67"/>
    <s v="CUST_10246"/>
    <x v="0"/>
    <s v="BOT-SLK-S"/>
    <x v="2"/>
    <s v="Silk Trousers"/>
    <n v="2899"/>
    <n v="1"/>
    <n v="2899"/>
    <s v=""/>
    <n v="0"/>
    <s v="Credit Card"/>
    <x v="0"/>
    <s v="Kolkata"/>
    <s v="West Bengal"/>
    <s v="Delhi"/>
    <d v="2024-12-18T00:00:00"/>
    <s v="Delivered"/>
    <x v="0"/>
    <x v="2"/>
    <m/>
    <s v="Not Applicable"/>
  </r>
  <r>
    <x v="247"/>
    <x v="67"/>
    <s v="CUST_10247"/>
    <x v="1"/>
    <s v="OUT-CPE-M"/>
    <x v="3"/>
    <s v="Velvet Cape"/>
    <n v="4599"/>
    <n v="1"/>
    <n v="4599"/>
    <s v="Dec20"/>
    <n v="20"/>
    <s v="UPI"/>
    <x v="1"/>
    <s v="Jaipur"/>
    <s v="Rajasthan"/>
    <s v="Delhi"/>
    <d v="2024-12-19T00:00:00"/>
    <s v="Delivered"/>
    <x v="1"/>
    <x v="1"/>
    <d v="2025-01-14T00:00:00"/>
    <s v="Processed"/>
  </r>
  <r>
    <x v="248"/>
    <x v="67"/>
    <s v="CUST_10248"/>
    <x v="0"/>
    <s v="ACC-HDB-OS"/>
    <x v="4"/>
    <s v="Embellished Handbag"/>
    <n v="2499"/>
    <n v="1"/>
    <n v="2499"/>
    <s v=""/>
    <n v="0"/>
    <s v="Wallet"/>
    <x v="2"/>
    <s v="Lucknow"/>
    <s v="Uttar Pradesh"/>
    <s v="Delhi"/>
    <d v="2024-12-19T00:00:00"/>
    <s v="Delivered"/>
    <x v="0"/>
    <x v="2"/>
    <m/>
    <s v="Not Applicable"/>
  </r>
  <r>
    <x v="249"/>
    <x v="68"/>
    <s v="CUST_10249"/>
    <x v="0"/>
    <s v="TOP-NYE-XS"/>
    <x v="0"/>
    <s v="Party Bodysuit"/>
    <n v="1899"/>
    <n v="1"/>
    <n v="1899"/>
    <s v=""/>
    <n v="0"/>
    <s v="Debit Card"/>
    <x v="0"/>
    <s v="Goa"/>
    <s v="Goa"/>
    <s v="Mumbai"/>
    <m/>
    <s v="RTO"/>
    <x v="0"/>
    <x v="2"/>
    <m/>
    <s v="Not Applicable"/>
  </r>
  <r>
    <x v="250"/>
    <x v="68"/>
    <s v="CUST_10250"/>
    <x v="0"/>
    <s v="DRS-CCT-S"/>
    <x v="1"/>
    <s v="Cocktail Dress"/>
    <n v="3299"/>
    <n v="1"/>
    <n v="3299"/>
    <s v="Dec20"/>
    <n v="20"/>
    <s v="Credit Card"/>
    <x v="1"/>
    <s v="Mumbai"/>
    <s v="Maharashtra"/>
    <s v="Mumbai"/>
    <d v="2024-12-20T00:00:00"/>
    <s v="Delivered"/>
    <x v="0"/>
    <x v="2"/>
    <m/>
    <s v="Not Applicable"/>
  </r>
  <r>
    <x v="251"/>
    <x v="68"/>
    <s v="CUST_10251"/>
    <x v="0"/>
    <s v="BOT-SQN-M"/>
    <x v="2"/>
    <s v="Sequin Skirt"/>
    <n v="2199"/>
    <n v="1"/>
    <n v="2199"/>
    <s v=""/>
    <n v="0"/>
    <s v="COD"/>
    <x v="2"/>
    <s v="Delhi"/>
    <s v="Delhi"/>
    <s v="Delhi"/>
    <d v="2024-12-21T00:00:00"/>
    <s v="Delivered"/>
    <x v="1"/>
    <x v="6"/>
    <d v="2025-01-15T00:00:00"/>
    <s v="Pending"/>
  </r>
  <r>
    <x v="252"/>
    <x v="68"/>
    <s v="CUST_10252"/>
    <x v="1"/>
    <s v="OUT-BLZ-S"/>
    <x v="3"/>
    <s v="Tuxedo Blazer"/>
    <n v="5499"/>
    <n v="1"/>
    <n v="5499"/>
    <s v="Dec20"/>
    <n v="20"/>
    <s v="UPI"/>
    <x v="0"/>
    <s v="Bangalore"/>
    <s v="Karnataka"/>
    <s v="Bangalore"/>
    <d v="2024-12-21T00:00:00"/>
    <s v="Delivered"/>
    <x v="0"/>
    <x v="2"/>
    <m/>
    <s v="Not Applicable"/>
  </r>
  <r>
    <x v="253"/>
    <x v="69"/>
    <s v="CUST_10253"/>
    <x v="0"/>
    <s v="ACC-TRA-OS"/>
    <x v="4"/>
    <s v="Tiara Headband"/>
    <n v="999"/>
    <n v="1"/>
    <n v="999"/>
    <s v=""/>
    <n v="0"/>
    <s v="Wallet"/>
    <x v="1"/>
    <s v="Ahmedabad"/>
    <s v="Gujarat"/>
    <s v="Mumbai"/>
    <d v="2024-12-22T00:00:00"/>
    <s v="Delivered"/>
    <x v="0"/>
    <x v="2"/>
    <m/>
    <s v="Not Applicable"/>
  </r>
  <r>
    <x v="254"/>
    <x v="69"/>
    <s v="CUST_10254"/>
    <x v="0"/>
    <s v="TOP-OFF-M"/>
    <x v="0"/>
    <s v="Off-Shoulder Top"/>
    <n v="1699"/>
    <n v="2"/>
    <n v="3398"/>
    <s v=""/>
    <n v="0"/>
    <s v="Debit Card"/>
    <x v="2"/>
    <s v="Surat"/>
    <s v="Gujarat"/>
    <s v="Mumbai"/>
    <d v="2024-12-22T00:00:00"/>
    <s v="Delivered"/>
    <x v="1"/>
    <x v="1"/>
    <d v="2025-01-16T00:00:00"/>
    <s v="Processed"/>
  </r>
  <r>
    <x v="255"/>
    <x v="69"/>
    <s v="CUST_10255"/>
    <x v="0"/>
    <s v="DRS-BLB-S"/>
    <x v="1"/>
    <s v="Balloon Sleeve Dress"/>
    <n v="2799"/>
    <n v="1"/>
    <n v="2799"/>
    <s v="Dec20"/>
    <n v="20"/>
    <s v="Credit Card"/>
    <x v="0"/>
    <s v="Vadodara"/>
    <s v="Gujarat"/>
    <s v="Mumbai"/>
    <d v="2024-12-23T00:00:00"/>
    <s v="Delivered"/>
    <x v="1"/>
    <x v="5"/>
    <d v="2025-01-18T00:00:00"/>
    <s v="Processed"/>
  </r>
  <r>
    <x v="256"/>
    <x v="69"/>
    <s v="CUST_10256"/>
    <x v="0"/>
    <s v="BOT-WDE-L"/>
    <x v="2"/>
    <s v="Wide Leg Pants"/>
    <n v="2299"/>
    <n v="1"/>
    <n v="2299"/>
    <s v=""/>
    <n v="0"/>
    <s v="UPI"/>
    <x v="1"/>
    <s v="Rajkot"/>
    <s v="Gujarat"/>
    <s v="Mumbai"/>
    <d v="2024-12-23T00:00:00"/>
    <s v="Delivered"/>
    <x v="0"/>
    <x v="2"/>
    <m/>
    <s v="Not Applicable"/>
  </r>
  <r>
    <x v="257"/>
    <x v="70"/>
    <s v="CUST_10257"/>
    <x v="1"/>
    <s v="OUT-SQN-M"/>
    <x v="3"/>
    <s v="Sequin Jacket"/>
    <n v="5999"/>
    <n v="1"/>
    <n v="5999"/>
    <s v=""/>
    <n v="0"/>
    <s v="COD"/>
    <x v="2"/>
    <s v="Kanpur"/>
    <s v="Uttar Pradesh"/>
    <s v="Delhi"/>
    <d v="2024-12-24T00:00:00"/>
    <s v="Delivered"/>
    <x v="1"/>
    <x v="4"/>
    <d v="2025-01-20T00:00:00"/>
    <s v="Processed"/>
  </r>
  <r>
    <x v="258"/>
    <x v="70"/>
    <s v="CUST_10258"/>
    <x v="0"/>
    <s v="ACC-PRT-OS"/>
    <x v="4"/>
    <s v="Party Earrings"/>
    <n v="899"/>
    <n v="2"/>
    <n v="1798"/>
    <s v="Dec20"/>
    <n v="20"/>
    <s v="Wallet"/>
    <x v="0"/>
    <s v="Mumbai"/>
    <s v="Maharashtra"/>
    <s v="Mumbai"/>
    <d v="2024-12-23T00:00:00"/>
    <s v="Delivered"/>
    <x v="0"/>
    <x v="2"/>
    <m/>
    <s v="Not Applicable"/>
  </r>
  <r>
    <x v="259"/>
    <x v="70"/>
    <s v="CUST_10259"/>
    <x v="0"/>
    <s v="TOP-FTH-S"/>
    <x v="0"/>
    <s v="Feather Trim Top"/>
    <n v="2099"/>
    <n v="1"/>
    <n v="2099"/>
    <s v=""/>
    <n v="0"/>
    <s v="Debit Card"/>
    <x v="1"/>
    <s v="Delhi"/>
    <s v="Delhi"/>
    <s v="Delhi"/>
    <d v="2024-12-24T00:00:00"/>
    <s v="Delivered"/>
    <x v="1"/>
    <x v="3"/>
    <d v="2025-01-19T00:00:00"/>
    <s v="Processed"/>
  </r>
  <r>
    <x v="260"/>
    <x v="71"/>
    <s v="CUST_10260"/>
    <x v="0"/>
    <s v="DRS-PRY-M"/>
    <x v="1"/>
    <s v="Party Maxi"/>
    <n v="3999"/>
    <n v="1"/>
    <n v="3999"/>
    <s v=""/>
    <n v="0"/>
    <s v="Credit Card"/>
    <x v="2"/>
    <s v="Chandigarh"/>
    <s v="Punjab"/>
    <s v="Delhi"/>
    <d v="2024-12-25T00:00:00"/>
    <s v="Delivered"/>
    <x v="1"/>
    <x v="1"/>
    <d v="2025-01-22T00:00:00"/>
    <s v="Processed"/>
  </r>
  <r>
    <x v="261"/>
    <x v="71"/>
    <s v="CUST_10261"/>
    <x v="0"/>
    <s v="BOT-GLM-S"/>
    <x v="2"/>
    <s v="Glam Pants"/>
    <n v="2499"/>
    <n v="1"/>
    <n v="2499"/>
    <s v="Dec20"/>
    <n v="20"/>
    <s v="UPI"/>
    <x v="0"/>
    <s v="Noida"/>
    <s v="Uttar Pradesh"/>
    <s v="Delhi"/>
    <d v="2024-12-25T00:00:00"/>
    <s v="Delivered"/>
    <x v="0"/>
    <x v="2"/>
    <m/>
    <s v="Not Applicable"/>
  </r>
  <r>
    <x v="262"/>
    <x v="71"/>
    <s v="CUST_10262"/>
    <x v="1"/>
    <s v="OUT-LME-L"/>
    <x v="3"/>
    <s v="Lame Blazer"/>
    <n v="4899"/>
    <n v="1"/>
    <n v="4899"/>
    <s v=""/>
    <n v="0"/>
    <s v="COD"/>
    <x v="1"/>
    <s v="Gurgaon"/>
    <s v="Haryana"/>
    <s v="Delhi"/>
    <d v="2024-12-26T00:00:00"/>
    <s v="Delivered"/>
    <x v="1"/>
    <x v="5"/>
    <d v="2025-01-23T00:00:00"/>
    <s v="Processed"/>
  </r>
  <r>
    <x v="263"/>
    <x v="71"/>
    <s v="CUST_10263"/>
    <x v="0"/>
    <s v="ACC-NYE-OS"/>
    <x v="4"/>
    <s v="NYE Headpiece"/>
    <n v="1199"/>
    <n v="1"/>
    <n v="1199"/>
    <s v=""/>
    <n v="0"/>
    <s v="Wallet"/>
    <x v="2"/>
    <s v="Indore"/>
    <s v="Madhya Pradesh"/>
    <s v="Mumbai"/>
    <d v="2024-12-25T00:00:00"/>
    <s v="Delivered"/>
    <x v="0"/>
    <x v="2"/>
    <m/>
    <s v="Not Applicable"/>
  </r>
  <r>
    <x v="264"/>
    <x v="71"/>
    <s v="CUST_10264"/>
    <x v="0"/>
    <s v="TOP-SHM-M"/>
    <x v="0"/>
    <s v="Shimmer Top"/>
    <n v="1899"/>
    <n v="1"/>
    <n v="1899"/>
    <s v="Dec20"/>
    <n v="20"/>
    <s v="Debit Card"/>
    <x v="0"/>
    <s v="Surat"/>
    <s v="Gujarat"/>
    <s v="Mumbai"/>
    <d v="2024-12-26T00:00:00"/>
    <s v="Delivered"/>
    <x v="1"/>
    <x v="6"/>
    <d v="2025-01-21T00:00:00"/>
    <s v="Processed"/>
  </r>
  <r>
    <x v="265"/>
    <x v="72"/>
    <s v="CUST_10265"/>
    <x v="0"/>
    <s v="DRS-CNT-L"/>
    <x v="1"/>
    <s v="Countdown Dress"/>
    <n v="3599"/>
    <n v="1"/>
    <n v="3599"/>
    <s v=""/>
    <n v="0"/>
    <s v="Credit Card"/>
    <x v="1"/>
    <s v="Patna"/>
    <s v="Bihar"/>
    <s v="Delhi"/>
    <d v="2024-12-27T00:00:00"/>
    <s v="Delivered"/>
    <x v="0"/>
    <x v="2"/>
    <m/>
    <s v="Not Applicable"/>
  </r>
  <r>
    <x v="266"/>
    <x v="72"/>
    <s v="CUST_10266"/>
    <x v="0"/>
    <s v="BOT-CHM-S"/>
    <x v="2"/>
    <s v="Champagne Pants"/>
    <n v="2699"/>
    <n v="1"/>
    <n v="2699"/>
    <s v=""/>
    <n v="0"/>
    <s v="UPI"/>
    <x v="2"/>
    <s v="Bhopal"/>
    <s v="Madhya Pradesh"/>
    <s v="Mumbai"/>
    <d v="2024-12-27T00:00:00"/>
    <s v="Delivered"/>
    <x v="1"/>
    <x v="1"/>
    <d v="2025-01-24T00:00:00"/>
    <s v="Processed"/>
  </r>
  <r>
    <x v="267"/>
    <x v="72"/>
    <s v="CUST_10267"/>
    <x v="1"/>
    <s v="OUT-RSE-M"/>
    <x v="3"/>
    <s v="Rose Gold Jacket"/>
    <n v="5599"/>
    <n v="1"/>
    <n v="5599"/>
    <s v="Dec20"/>
    <n v="20"/>
    <s v="COD"/>
    <x v="0"/>
    <s v="Nagpur"/>
    <s v="Maharashtra"/>
    <s v="Mumbai"/>
    <d v="2024-12-28T00:00:00"/>
    <s v="Delivered"/>
    <x v="1"/>
    <x v="4"/>
    <d v="2025-01-25T00:00:00"/>
    <s v="Processed"/>
  </r>
  <r>
    <x v="268"/>
    <x v="72"/>
    <s v="CUST_10268"/>
    <x v="0"/>
    <s v="ACC-MSK-OS"/>
    <x v="4"/>
    <s v="Mask Chain"/>
    <n v="399"/>
    <n v="3"/>
    <n v="1197"/>
    <s v=""/>
    <n v="0"/>
    <s v="Wallet"/>
    <x v="1"/>
    <s v="Coimbatore"/>
    <s v="Tamil Nadu"/>
    <s v="Bangalore"/>
    <d v="2024-12-27T00:00:00"/>
    <s v="Delivered"/>
    <x v="0"/>
    <x v="2"/>
    <m/>
    <s v="Not Applicable"/>
  </r>
  <r>
    <x v="269"/>
    <x v="73"/>
    <s v="CUST_10269"/>
    <x v="0"/>
    <s v="TOP-CEL-L"/>
    <x v="0"/>
    <s v="Celebration Top"/>
    <n v="2199"/>
    <n v="1"/>
    <n v="2199"/>
    <s v=""/>
    <n v="0"/>
    <s v="Debit Card"/>
    <x v="2"/>
    <s v="Kochi"/>
    <s v="Kerala"/>
    <s v="Bangalore"/>
    <d v="2024-12-28T00:00:00"/>
    <s v="Delivered"/>
    <x v="1"/>
    <x v="3"/>
    <d v="2025-01-23T00:00:00"/>
    <s v="Processed"/>
  </r>
  <r>
    <x v="270"/>
    <x v="73"/>
    <s v="CUST_10270"/>
    <x v="0"/>
    <s v="DRS-MID-S"/>
    <x v="1"/>
    <s v="Midnight Dress"/>
    <n v="4299"/>
    <n v="1"/>
    <n v="4299"/>
    <s v="Dec20"/>
    <n v="20"/>
    <s v="Credit Card"/>
    <x v="0"/>
    <s v="Vizag"/>
    <s v="Andhra Pradesh"/>
    <s v="Bangalore"/>
    <d v="2024-12-29T00:00:00"/>
    <s v="Delivered"/>
    <x v="0"/>
    <x v="2"/>
    <m/>
    <s v="Not Applicable"/>
  </r>
  <r>
    <x v="271"/>
    <x v="73"/>
    <s v="CUST_10271"/>
    <x v="0"/>
    <s v="BOT-NYS-M"/>
    <x v="2"/>
    <s v="NYE Skirt"/>
    <n v="2399"/>
    <n v="1"/>
    <n v="2399"/>
    <s v=""/>
    <n v="0"/>
    <s v="UPI"/>
    <x v="1"/>
    <s v="Thiruvananthapuram"/>
    <s v="Kerala"/>
    <s v="Bangalore"/>
    <d v="2024-12-29T00:00:00"/>
    <s v="Delivered"/>
    <x v="1"/>
    <x v="5"/>
    <d v="2025-01-26T00:00:00"/>
    <s v="Processed"/>
  </r>
  <r>
    <x v="272"/>
    <x v="73"/>
    <s v="CUST_10272"/>
    <x v="1"/>
    <s v="OUT-FRS-L"/>
    <x v="3"/>
    <s v="Frost Jacket"/>
    <n v="6299"/>
    <n v="1"/>
    <n v="6299"/>
    <s v=""/>
    <n v="0"/>
    <s v="COD"/>
    <x v="2"/>
    <s v="Mysore"/>
    <s v="Karnataka"/>
    <s v="Bangalore"/>
    <m/>
    <s v="RTO"/>
    <x v="0"/>
    <x v="2"/>
    <m/>
    <s v="Not Applicable"/>
  </r>
  <r>
    <x v="273"/>
    <x v="74"/>
    <s v="CUST_10273"/>
    <x v="0"/>
    <s v="ACC-SPR-OS"/>
    <x v="4"/>
    <s v="Sparkle Hair Clip"/>
    <n v="599"/>
    <n v="2"/>
    <n v="1198"/>
    <s v="Dec20"/>
    <n v="20"/>
    <s v="Wallet"/>
    <x v="0"/>
    <s v="Vadodara"/>
    <s v="Gujarat"/>
    <s v="Mumbai"/>
    <d v="2024-12-29T00:00:00"/>
    <s v="Delivered"/>
    <x v="0"/>
    <x v="2"/>
    <m/>
    <s v="Not Applicable"/>
  </r>
  <r>
    <x v="274"/>
    <x v="74"/>
    <s v="CUST_10274"/>
    <x v="0"/>
    <s v="TOP-GLS-M"/>
    <x v="0"/>
    <s v="Glass Bead Top"/>
    <n v="2399"/>
    <n v="1"/>
    <n v="2399"/>
    <s v=""/>
    <n v="0"/>
    <s v="Debit Card"/>
    <x v="1"/>
    <s v="Rajkot"/>
    <s v="Gujarat"/>
    <s v="Mumbai"/>
    <d v="2024-12-30T00:00:00"/>
    <s v="Delivered"/>
    <x v="1"/>
    <x v="1"/>
    <d v="2025-01-27T00:00:00"/>
    <s v="Processed"/>
  </r>
  <r>
    <x v="275"/>
    <x v="74"/>
    <s v="CUST_10275"/>
    <x v="0"/>
    <s v="DRS-FNL-L"/>
    <x v="1"/>
    <s v="Finale Gown"/>
    <n v="5999"/>
    <n v="1"/>
    <n v="5999"/>
    <s v=""/>
    <n v="0"/>
    <s v="Credit Card"/>
    <x v="2"/>
    <s v="Kanpur"/>
    <s v="Uttar Pradesh"/>
    <s v="Delhi"/>
    <d v="2024-12-31T00:00:00"/>
    <s v="Delivered"/>
    <x v="1"/>
    <x v="6"/>
    <d v="2025-01-28T00:00:00"/>
    <s v="Processed"/>
  </r>
  <r>
    <x v="276"/>
    <x v="74"/>
    <s v="CUST_10276"/>
    <x v="0"/>
    <s v="BOT-PRY-S"/>
    <x v="2"/>
    <s v="Party Leggings"/>
    <n v="1899"/>
    <n v="1"/>
    <n v="1899"/>
    <s v="Dec20"/>
    <n v="20"/>
    <s v="UPI"/>
    <x v="0"/>
    <s v="Mumbai"/>
    <s v="Maharashtra"/>
    <s v="Mumbai"/>
    <d v="2024-12-30T00:00:00"/>
    <s v="Delivered"/>
    <x v="0"/>
    <x v="2"/>
    <m/>
    <s v="Not Applicable"/>
  </r>
  <r>
    <x v="277"/>
    <x v="75"/>
    <s v="CUST_10277"/>
    <x v="1"/>
    <s v="OUT-CHR-M"/>
    <x v="3"/>
    <s v="Christmas Jacket"/>
    <n v="4999"/>
    <n v="1"/>
    <n v="4999"/>
    <s v=""/>
    <n v="0"/>
    <s v="COD"/>
    <x v="1"/>
    <s v="Delhi"/>
    <s v="Delhi"/>
    <s v="Delhi"/>
    <d v="2024-12-31T00:00:00"/>
    <s v="Delivered"/>
    <x v="1"/>
    <x v="4"/>
    <d v="2025-01-29T00:00:00"/>
    <s v="Processed"/>
  </r>
  <r>
    <x v="278"/>
    <x v="75"/>
    <s v="CUST_10278"/>
    <x v="0"/>
    <s v="ACC-BLS-OS"/>
    <x v="4"/>
    <s v="Blush Bag"/>
    <n v="1699"/>
    <n v="1"/>
    <n v="1699"/>
    <s v=""/>
    <n v="0"/>
    <s v="Wallet"/>
    <x v="2"/>
    <s v="Kolkata"/>
    <s v="West Bengal"/>
    <s v="Delhi"/>
    <d v="2024-12-30T00:00:00"/>
    <s v="Delivered"/>
    <x v="1"/>
    <x v="3"/>
    <d v="2025-01-26T00:00:00"/>
    <s v="Processed"/>
  </r>
  <r>
    <x v="279"/>
    <x v="75"/>
    <s v="CUST_10279"/>
    <x v="0"/>
    <s v="TOP-YRS-L"/>
    <x v="0"/>
    <s v="Year End Top"/>
    <n v="2099"/>
    <n v="1"/>
    <n v="2099"/>
    <s v="Dec20"/>
    <n v="20"/>
    <s v="Debit Card"/>
    <x v="0"/>
    <s v="Chennai"/>
    <s v="Tamil Nadu"/>
    <s v="Bangalore"/>
    <d v="2024-12-31T00:00:00"/>
    <s v="Delivered"/>
    <x v="0"/>
    <x v="2"/>
    <m/>
    <s v="Not Applicable"/>
  </r>
  <r>
    <x v="280"/>
    <x v="75"/>
    <s v="CUST_10280"/>
    <x v="0"/>
    <s v="DRS-EVE-S"/>
    <x v="1"/>
    <s v="Evening Elegance"/>
    <n v="4599"/>
    <n v="1"/>
    <n v="4599"/>
    <s v=""/>
    <n v="0"/>
    <s v="Credit Card"/>
    <x v="1"/>
    <s v="Hyderabad"/>
    <s v="Telangana"/>
    <s v="Bangalore"/>
    <d v="2025-01-02T00:00:00"/>
    <s v="Delivered"/>
    <x v="1"/>
    <x v="1"/>
    <d v="2025-01-30T00:00:00"/>
    <s v="Processed"/>
  </r>
  <r>
    <x v="281"/>
    <x v="76"/>
    <s v="CUST_10281"/>
    <x v="0"/>
    <s v="BOT-FNS-M"/>
    <x v="2"/>
    <s v="Finish Line Pants"/>
    <n v="2299"/>
    <n v="1"/>
    <n v="2299"/>
    <s v=""/>
    <n v="0"/>
    <s v="UPI"/>
    <x v="2"/>
    <s v="Pune"/>
    <s v="Maharashtra"/>
    <s v="Mumbai"/>
    <d v="2025-01-02T00:00:00"/>
    <s v="Delivered"/>
    <x v="0"/>
    <x v="2"/>
    <m/>
    <s v="Not Applicable"/>
  </r>
  <r>
    <x v="282"/>
    <x v="76"/>
    <s v="CUST_10282"/>
    <x v="1"/>
    <s v="OUT-NYB-L"/>
    <x v="3"/>
    <s v="NYE Blazer"/>
    <n v="5799"/>
    <n v="1"/>
    <n v="5799"/>
    <s v="Dec20"/>
    <n v="20"/>
    <s v="COD"/>
    <x v="0"/>
    <s v="Ahmedabad"/>
    <s v="Gujarat"/>
    <s v="Mumbai"/>
    <d v="2025-01-03T00:00:00"/>
    <s v="Delivered"/>
    <x v="1"/>
    <x v="5"/>
    <d v="2025-01-31T00:00:00"/>
    <s v="Processed"/>
  </r>
  <r>
    <x v="283"/>
    <x v="76"/>
    <s v="CUST_10283"/>
    <x v="0"/>
    <s v="ACC-CNT-OS"/>
    <x v="4"/>
    <s v="Countdown Earrings"/>
    <n v="799"/>
    <n v="2"/>
    <n v="1598"/>
    <s v=""/>
    <n v="0"/>
    <s v="Wallet"/>
    <x v="1"/>
    <s v="Jaipur"/>
    <s v="Rajasthan"/>
    <s v="Delhi"/>
    <d v="2025-01-02T00:00:00"/>
    <s v="Delivered"/>
    <x v="0"/>
    <x v="2"/>
    <m/>
    <s v="Not Applicable"/>
  </r>
  <r>
    <x v="284"/>
    <x v="76"/>
    <s v="CUST_10284"/>
    <x v="0"/>
    <s v="TOP-LST-S"/>
    <x v="0"/>
    <s v="Last Dance Top"/>
    <n v="1999"/>
    <n v="1"/>
    <n v="1999"/>
    <s v=""/>
    <n v="0"/>
    <s v="Debit Card"/>
    <x v="2"/>
    <s v="Lucknow"/>
    <s v="Uttar Pradesh"/>
    <s v="Delhi"/>
    <d v="2025-01-03T00:00:00"/>
    <s v="Delivered"/>
    <x v="1"/>
    <x v="6"/>
    <d v="2025-01-30T00:00:00"/>
    <s v="Processed"/>
  </r>
  <r>
    <x v="285"/>
    <x v="77"/>
    <s v="CUST_10285"/>
    <x v="0"/>
    <s v="DRS-BLS-M"/>
    <x v="1"/>
    <s v="Bliss Dress"/>
    <n v="3899"/>
    <n v="1"/>
    <n v="3899"/>
    <s v="Dec20"/>
    <n v="20"/>
    <s v="Credit Card"/>
    <x v="0"/>
    <s v="Bangalore"/>
    <s v="Karnataka"/>
    <s v="Bangalore"/>
    <d v="2025-01-04T00:00:00"/>
    <s v="Delivered"/>
    <x v="1"/>
    <x v="1"/>
    <d v="2025-02-01T00:00:00"/>
    <s v="Processed"/>
  </r>
  <r>
    <x v="286"/>
    <x v="77"/>
    <s v="CUST_10286"/>
    <x v="0"/>
    <s v="BOT-END-L"/>
    <x v="2"/>
    <s v="Year End Pants"/>
    <n v="2599"/>
    <n v="1"/>
    <n v="2599"/>
    <s v=""/>
    <n v="0"/>
    <s v="UPI"/>
    <x v="1"/>
    <s v="Mumbai"/>
    <s v="Maharashtra"/>
    <s v="Mumbai"/>
    <d v="2025-01-04T00:00:00"/>
    <s v="Delivered"/>
    <x v="0"/>
    <x v="2"/>
    <m/>
    <s v="Not Applicable"/>
  </r>
  <r>
    <x v="287"/>
    <x v="77"/>
    <s v="CUST_10287"/>
    <x v="0"/>
    <s v="OUT-CLB-M"/>
    <x v="3"/>
    <s v="Celebration Blazer"/>
    <n v="5299"/>
    <n v="1"/>
    <n v="5299"/>
    <s v=""/>
    <n v="0"/>
    <s v="COD"/>
    <x v="2"/>
    <s v="Delhi"/>
    <s v="Delhi"/>
    <s v="Delhi"/>
    <d v="2025-01-05T00:00:00"/>
    <s v="Delivered"/>
    <x v="1"/>
    <x v="4"/>
    <d v="2025-02-02T00:00:00"/>
    <s v="Processed"/>
  </r>
  <r>
    <x v="288"/>
    <x v="77"/>
    <s v="CUST_10288"/>
    <x v="1"/>
    <s v="ACC-FNL-OS"/>
    <x v="4"/>
    <s v="Finale Necklace"/>
    <n v="1399"/>
    <n v="1"/>
    <n v="1399"/>
    <s v="Dec20"/>
    <n v="20"/>
    <s v="Wallet"/>
    <x v="0"/>
    <s v="Chandigarh"/>
    <s v="Punjab"/>
    <s v="Delhi"/>
    <d v="2025-01-04T00:00:00"/>
    <s v="Delivered"/>
    <x v="0"/>
    <x v="2"/>
    <m/>
    <s v="Not Applicable"/>
  </r>
  <r>
    <x v="289"/>
    <x v="78"/>
    <s v="CUST_10289"/>
    <x v="0"/>
    <s v="TOP-PRY-M"/>
    <x v="0"/>
    <s v="Party Essential Top"/>
    <n v="1799"/>
    <n v="1"/>
    <n v="1799"/>
    <s v=""/>
    <n v="0"/>
    <s v="Debit Card"/>
    <x v="1"/>
    <s v="Noida"/>
    <s v="Uttar Pradesh"/>
    <s v="Delhi"/>
    <d v="2025-01-05T00:00:00"/>
    <s v="Delivered"/>
    <x v="1"/>
    <x v="3"/>
    <d v="2025-02-01T00:00:00"/>
    <s v="Processed"/>
  </r>
  <r>
    <x v="290"/>
    <x v="78"/>
    <s v="CUST_10290"/>
    <x v="0"/>
    <s v="DRS-SHN-L"/>
    <x v="1"/>
    <s v="Shine On Dress"/>
    <n v="4199"/>
    <n v="1"/>
    <n v="4199"/>
    <s v=""/>
    <n v="0"/>
    <s v="Credit Card"/>
    <x v="2"/>
    <s v="Gurgaon"/>
    <s v="Haryana"/>
    <s v="Delhi"/>
    <d v="2025-01-06T00:00:00"/>
    <s v="Delivered"/>
    <x v="1"/>
    <x v="1"/>
    <d v="2025-02-03T00:00:00"/>
    <s v="Processed"/>
  </r>
  <r>
    <x v="291"/>
    <x v="78"/>
    <s v="CUST_10291"/>
    <x v="0"/>
    <s v="BOT-GLD-S"/>
    <x v="2"/>
    <s v="Gold Rush Pants"/>
    <n v="2799"/>
    <n v="1"/>
    <n v="2799"/>
    <s v="Dec20"/>
    <n v="20"/>
    <s v="UPI"/>
    <x v="0"/>
    <s v="Indore"/>
    <s v="Madhya Pradesh"/>
    <s v="Mumbai"/>
    <d v="2025-01-06T00:00:00"/>
    <s v="Delivered"/>
    <x v="0"/>
    <x v="2"/>
    <m/>
    <s v="Not Applicable"/>
  </r>
  <r>
    <x v="292"/>
    <x v="78"/>
    <s v="CUST_10292"/>
    <x v="0"/>
    <s v="OUT-DZL-M"/>
    <x v="3"/>
    <s v="Dazzle Jacket"/>
    <n v="5499"/>
    <n v="1"/>
    <n v="5499"/>
    <s v=""/>
    <n v="0"/>
    <s v="COD"/>
    <x v="1"/>
    <s v="Surat"/>
    <s v="Gujarat"/>
    <s v="Mumbai"/>
    <d v="2025-01-07T00:00:00"/>
    <s v="Delivered"/>
    <x v="1"/>
    <x v="5"/>
    <d v="2025-02-04T00:00:00"/>
    <s v="Processed"/>
  </r>
  <r>
    <x v="293"/>
    <x v="79"/>
    <s v="CUST_10293"/>
    <x v="1"/>
    <s v="ACC-GLW-OS"/>
    <x v="4"/>
    <s v="Glow Bracelet"/>
    <n v="699"/>
    <n v="2"/>
    <n v="1398"/>
    <s v=""/>
    <n v="0"/>
    <s v="Wallet"/>
    <x v="2"/>
    <s v="Patna"/>
    <s v="Bihar"/>
    <s v="Delhi"/>
    <d v="2025-01-06T00:00:00"/>
    <s v="Delivered"/>
    <x v="0"/>
    <x v="2"/>
    <m/>
    <s v="Not Applicable"/>
  </r>
  <r>
    <x v="294"/>
    <x v="79"/>
    <s v="CUST_10294"/>
    <x v="0"/>
    <s v="TOP-SLB-L"/>
    <x v="0"/>
    <s v="Celebrate Top"/>
    <n v="2299"/>
    <n v="1"/>
    <n v="2299"/>
    <s v="Dec20"/>
    <n v="20"/>
    <s v="Debit Card"/>
    <x v="0"/>
    <s v="Bhopal"/>
    <s v="Madhya Pradesh"/>
    <s v="Mumbai"/>
    <d v="2025-01-07T00:00:00"/>
    <s v="Delivered"/>
    <x v="1"/>
    <x v="6"/>
    <d v="2025-02-03T00:00:00"/>
    <s v="Processed"/>
  </r>
  <r>
    <x v="295"/>
    <x v="79"/>
    <s v="CUST_10295"/>
    <x v="0"/>
    <s v="DRS-RDY-S"/>
    <x v="1"/>
    <s v="Ready to Party Dress"/>
    <n v="3599"/>
    <n v="1"/>
    <n v="3599"/>
    <s v=""/>
    <n v="0"/>
    <s v="Credit Card"/>
    <x v="1"/>
    <s v="Nagpur"/>
    <s v="Maharashtra"/>
    <s v="Mumbai"/>
    <d v="2025-01-08T00:00:00"/>
    <s v="Delivered"/>
    <x v="0"/>
    <x v="2"/>
    <m/>
    <s v="Not Applicable"/>
  </r>
  <r>
    <x v="296"/>
    <x v="79"/>
    <s v="CUST_10296"/>
    <x v="0"/>
    <s v="BOT-BRT-M"/>
    <x v="2"/>
    <s v="Bright Night Pants"/>
    <n v="2499"/>
    <n v="1"/>
    <n v="2499"/>
    <s v=""/>
    <n v="0"/>
    <s v="UPI"/>
    <x v="2"/>
    <s v="Coimbatore"/>
    <s v="Tamil Nadu"/>
    <s v="Bangalore"/>
    <d v="2025-01-08T00:00:00"/>
    <s v="Delivered"/>
    <x v="1"/>
    <x v="1"/>
    <d v="2025-02-05T00:00:00"/>
    <s v="Processed"/>
  </r>
  <r>
    <x v="297"/>
    <x v="80"/>
    <s v="CUST_10297"/>
    <x v="0"/>
    <s v="OUT-END-L"/>
    <x v="3"/>
    <s v="End of Year Coat"/>
    <n v="6799"/>
    <n v="1"/>
    <n v="6799"/>
    <s v="Dec20"/>
    <n v="20"/>
    <s v="COD"/>
    <x v="0"/>
    <s v="Kochi"/>
    <s v="Kerala"/>
    <s v="Bangalore"/>
    <d v="2025-01-09T00:00:00"/>
    <s v="Delivered"/>
    <x v="1"/>
    <x v="4"/>
    <d v="2025-02-06T00:00:00"/>
    <s v="Processed"/>
  </r>
  <r>
    <x v="298"/>
    <x v="80"/>
    <s v="CUST_10298"/>
    <x v="1"/>
    <s v="ACC-MRY-OS"/>
    <x v="4"/>
    <s v="Merry Earrings"/>
    <n v="599"/>
    <n v="3"/>
    <n v="1797"/>
    <s v=""/>
    <n v="0"/>
    <s v="Wallet"/>
    <x v="1"/>
    <s v="Vizag"/>
    <s v="Andhra Pradesh"/>
    <s v="Bangalore"/>
    <d v="2025-01-08T00:00:00"/>
    <s v="Delivered"/>
    <x v="0"/>
    <x v="2"/>
    <m/>
    <s v="Not Applicable"/>
  </r>
  <r>
    <x v="299"/>
    <x v="80"/>
    <s v="CUST_10299"/>
    <x v="0"/>
    <s v="TOP-JOY-M"/>
    <x v="0"/>
    <s v="Joyful Top"/>
    <n v="1899"/>
    <n v="1"/>
    <n v="1899"/>
    <s v=""/>
    <n v="0"/>
    <s v="Debit Card"/>
    <x v="2"/>
    <s v="Thiruvananthapuram"/>
    <s v="Kerala"/>
    <s v="Bangalore"/>
    <d v="2025-01-09T00:00:00"/>
    <s v="Delivered"/>
    <x v="1"/>
    <x v="3"/>
    <d v="2025-02-05T00:00:00"/>
    <s v="Processed"/>
  </r>
  <r>
    <x v="300"/>
    <x v="80"/>
    <s v="CUST_10300"/>
    <x v="0"/>
    <s v="DRS-WND-L"/>
    <x v="1"/>
    <s v="Winter Wonder Dress"/>
    <n v="4499"/>
    <n v="1"/>
    <n v="4499"/>
    <s v="Dec20"/>
    <n v="20"/>
    <s v="Credit Card"/>
    <x v="0"/>
    <s v="Mysore"/>
    <s v="Karnataka"/>
    <s v="Bangalore"/>
    <d v="2025-01-10T00:00:00"/>
    <s v="Delivered"/>
    <x v="1"/>
    <x v="1"/>
    <d v="2025-02-07T00:00:00"/>
    <s v="Processed"/>
  </r>
  <r>
    <x v="301"/>
    <x v="81"/>
    <s v="CUST_10301"/>
    <x v="0"/>
    <s v="BOT-FST-S"/>
    <x v="2"/>
    <s v="Festive Pants"/>
    <n v="2199"/>
    <n v="1"/>
    <n v="2199"/>
    <s v=""/>
    <n v="0"/>
    <s v="UPI"/>
    <x v="1"/>
    <s v="Vadodara"/>
    <s v="Gujarat"/>
    <s v="Mumbai"/>
    <d v="2025-01-10T00:00:00"/>
    <s v="Delivered"/>
    <x v="0"/>
    <x v="2"/>
    <m/>
    <s v="Not Applicable"/>
  </r>
  <r>
    <x v="302"/>
    <x v="81"/>
    <s v="CUST_10302"/>
    <x v="0"/>
    <s v="OUT-HOL-M"/>
    <x v="3"/>
    <s v="Holiday Jacket"/>
    <n v="5199"/>
    <n v="1"/>
    <n v="5199"/>
    <s v=""/>
    <n v="0"/>
    <s v="COD"/>
    <x v="2"/>
    <s v="Rajkot"/>
    <s v="Gujarat"/>
    <s v="Mumbai"/>
    <d v="2025-01-11T00:00:00"/>
    <s v="Delivered"/>
    <x v="1"/>
    <x v="5"/>
    <d v="2025-02-08T00:00:00"/>
    <s v="Processed"/>
  </r>
  <r>
    <x v="303"/>
    <x v="81"/>
    <s v="CUST_10303"/>
    <x v="1"/>
    <s v="ACC-CHR-OS"/>
    <x v="4"/>
    <s v="Christmas Brooch"/>
    <n v="499"/>
    <n v="2"/>
    <n v="998"/>
    <s v="Dec20"/>
    <n v="20"/>
    <s v="Wallet"/>
    <x v="0"/>
    <s v="Kanpur"/>
    <s v="Uttar Pradesh"/>
    <s v="Delhi"/>
    <d v="2025-01-10T00:00:00"/>
    <s v="Delivered"/>
    <x v="0"/>
    <x v="2"/>
    <m/>
    <s v="Not Applicable"/>
  </r>
  <r>
    <x v="304"/>
    <x v="81"/>
    <s v="CUST_10304"/>
    <x v="0"/>
    <s v="TOP-SNW-L"/>
    <x v="0"/>
    <s v="Snow White Top"/>
    <n v="2099"/>
    <n v="1"/>
    <n v="2099"/>
    <s v=""/>
    <n v="0"/>
    <s v="Debit Card"/>
    <x v="1"/>
    <s v="Mumbai"/>
    <s v="Maharashtra"/>
    <s v="Mumbai"/>
    <d v="2025-01-11T00:00:00"/>
    <s v="Delivered"/>
    <x v="1"/>
    <x v="6"/>
    <d v="2025-02-07T00:00:00"/>
    <s v="Processed"/>
  </r>
  <r>
    <x v="305"/>
    <x v="82"/>
    <s v="CUST_10305"/>
    <x v="0"/>
    <s v="DRS-ICE-S"/>
    <x v="1"/>
    <s v="Ice Queen Dress"/>
    <n v="3999"/>
    <n v="1"/>
    <n v="3999"/>
    <s v=""/>
    <n v="0"/>
    <s v="Credit Card"/>
    <x v="2"/>
    <s v="Delhi"/>
    <s v="Delhi"/>
    <s v="Delhi"/>
    <d v="2025-01-12T00:00:00"/>
    <s v="Delivered"/>
    <x v="1"/>
    <x v="1"/>
    <d v="2025-02-09T00:00:00"/>
    <s v="Processed"/>
  </r>
  <r>
    <x v="306"/>
    <x v="82"/>
    <s v="CUST_10306"/>
    <x v="0"/>
    <s v="BOT-FRZ-M"/>
    <x v="2"/>
    <s v="Frozen Pants"/>
    <n v="2399"/>
    <n v="1"/>
    <n v="2399"/>
    <s v="Dec20"/>
    <n v="20"/>
    <s v="UPI"/>
    <x v="0"/>
    <s v="Kolkata"/>
    <s v="West Bengal"/>
    <s v="Delhi"/>
    <d v="2025-01-12T00:00:00"/>
    <s v="Delivered"/>
    <x v="0"/>
    <x v="2"/>
    <m/>
    <s v="Not Applicable"/>
  </r>
  <r>
    <x v="307"/>
    <x v="82"/>
    <s v="CUST_10307"/>
    <x v="0"/>
    <s v="OUT-WNT-L"/>
    <x v="3"/>
    <s v="Winter Wonderland Coat"/>
    <n v="7299"/>
    <n v="1"/>
    <n v="7299"/>
    <s v=""/>
    <n v="0"/>
    <s v="COD"/>
    <x v="1"/>
    <s v="Chennai"/>
    <s v="Tamil Nadu"/>
    <s v="Bangalore"/>
    <d v="2025-01-13T00:00:00"/>
    <s v="Delivered"/>
    <x v="1"/>
    <x v="4"/>
    <d v="2025-02-10T00:00:00"/>
    <s v="Processed"/>
  </r>
  <r>
    <x v="308"/>
    <x v="82"/>
    <s v="CUST_10308"/>
    <x v="1"/>
    <s v="ACC-SNF-OS"/>
    <x v="4"/>
    <s v="Snowflake Pendant"/>
    <n v="899"/>
    <n v="1"/>
    <n v="899"/>
    <s v=""/>
    <n v="0"/>
    <s v="Wallet"/>
    <x v="2"/>
    <s v="Hyderabad"/>
    <s v="Telangana"/>
    <s v="Bangalore"/>
    <d v="2025-01-12T00:00:00"/>
    <s v="Delivered"/>
    <x v="1"/>
    <x v="3"/>
    <d v="2025-02-08T00:00:00"/>
    <s v="Processed"/>
  </r>
  <r>
    <x v="309"/>
    <x v="83"/>
    <s v="CUST_10309"/>
    <x v="0"/>
    <s v="TOP-XMS-M"/>
    <x v="0"/>
    <s v="Christmas Spirit Top"/>
    <n v="1999"/>
    <n v="1"/>
    <n v="1999"/>
    <s v="Dec20"/>
    <n v="20"/>
    <s v="Debit Card"/>
    <x v="0"/>
    <s v="Pune"/>
    <s v="Maharashtra"/>
    <s v="Mumbai"/>
    <d v="2025-01-13T00:00:00"/>
    <s v="Delivered"/>
    <x v="0"/>
    <x v="2"/>
    <m/>
    <s v="Not Applicable"/>
  </r>
  <r>
    <x v="310"/>
    <x v="83"/>
    <s v="CUST_10310"/>
    <x v="0"/>
    <s v="DRS-NYR-L"/>
    <x v="1"/>
    <s v="New Year Ready Dress"/>
    <n v="4699"/>
    <n v="1"/>
    <n v="4699"/>
    <s v=""/>
    <n v="0"/>
    <s v="Credit Card"/>
    <x v="1"/>
    <s v="Ahmedabad"/>
    <s v="Gujarat"/>
    <s v="Mumbai"/>
    <d v="2025-01-14T00:00:00"/>
    <s v="Delivered"/>
    <x v="1"/>
    <x v="1"/>
    <d v="2025-02-11T00:00:00"/>
    <s v="Processed"/>
  </r>
  <r>
    <x v="311"/>
    <x v="83"/>
    <s v="CUST_10311"/>
    <x v="0"/>
    <s v="BOT-HLD-S"/>
    <x v="2"/>
    <s v="Holiday Special Pants"/>
    <n v="2299"/>
    <n v="1"/>
    <n v="2299"/>
    <s v=""/>
    <n v="0"/>
    <s v="UPI"/>
    <x v="2"/>
    <s v="Jaipur"/>
    <s v="Rajasthan"/>
    <s v="Delhi"/>
    <d v="2025-01-14T00:00:00"/>
    <s v="Delivered"/>
    <x v="0"/>
    <x v="2"/>
    <m/>
    <s v="Not Applicable"/>
  </r>
  <r>
    <x v="312"/>
    <x v="83"/>
    <s v="CUST_10312"/>
    <x v="0"/>
    <s v="OUT-CEL-M"/>
    <x v="3"/>
    <s v="Celebrate Blazer"/>
    <n v="5399"/>
    <n v="1"/>
    <n v="5399"/>
    <s v="Dec20"/>
    <n v="20"/>
    <s v="COD"/>
    <x v="0"/>
    <s v="Lucknow"/>
    <s v="Uttar Pradesh"/>
    <s v="Delhi"/>
    <d v="2025-01-15T00:00:00"/>
    <s v="Delivered"/>
    <x v="1"/>
    <x v="5"/>
    <d v="2025-02-12T00:00:00"/>
    <s v="Processed"/>
  </r>
  <r>
    <x v="313"/>
    <x v="84"/>
    <s v="CUST_10313"/>
    <x v="1"/>
    <s v="ACC-WRM-OS"/>
    <x v="4"/>
    <s v="Warm Wishes Scarf"/>
    <n v="1199"/>
    <n v="1"/>
    <n v="1199"/>
    <s v=""/>
    <n v="0"/>
    <s v="Wallet"/>
    <x v="1"/>
    <s v="Bangalore"/>
    <s v="Karnataka"/>
    <s v="Bangalore"/>
    <d v="2025-01-14T00:00:00"/>
    <s v="Delivered"/>
    <x v="0"/>
    <x v="2"/>
    <m/>
    <s v="Not Applicable"/>
  </r>
  <r>
    <x v="314"/>
    <x v="84"/>
    <s v="CUST_10314"/>
    <x v="0"/>
    <s v="TOP-FLK-L"/>
    <x v="0"/>
    <s v="Snowflake Top"/>
    <n v="2199"/>
    <n v="1"/>
    <n v="2199"/>
    <s v=""/>
    <n v="0"/>
    <s v="Debit Card"/>
    <x v="2"/>
    <s v="Mumbai"/>
    <s v="Maharashtra"/>
    <s v="Mumbai"/>
    <d v="2025-01-15T00:00:00"/>
    <s v="Delivered"/>
    <x v="1"/>
    <x v="6"/>
    <d v="2025-02-11T00:00:00"/>
    <s v="Processed"/>
  </r>
  <r>
    <x v="315"/>
    <x v="84"/>
    <s v="CUST_10315"/>
    <x v="0"/>
    <s v="DRS-SPR-S"/>
    <x v="1"/>
    <s v="Sparkle Season Dress"/>
    <n v="3799"/>
    <n v="1"/>
    <n v="3799"/>
    <s v="Dec20"/>
    <n v="20"/>
    <s v="Credit Card"/>
    <x v="0"/>
    <s v="Delhi"/>
    <s v="Delhi"/>
    <s v="Delhi"/>
    <d v="2025-01-16T00:00:00"/>
    <s v="Delivered"/>
    <x v="1"/>
    <x v="1"/>
    <d v="2025-02-13T00:00:00"/>
    <s v="Processed"/>
  </r>
  <r>
    <x v="316"/>
    <x v="84"/>
    <s v="CUST_10316"/>
    <x v="0"/>
    <s v="BOT-CHR-M"/>
    <x v="2"/>
    <s v="Cheer Pants"/>
    <n v="2499"/>
    <n v="1"/>
    <n v="2499"/>
    <s v=""/>
    <n v="0"/>
    <s v="UPI"/>
    <x v="1"/>
    <s v="Chandigarh"/>
    <s v="Punjab"/>
    <s v="Delhi"/>
    <d v="2025-01-16T00:00:00"/>
    <s v="Delivered"/>
    <x v="0"/>
    <x v="2"/>
    <m/>
    <s v="Not Applicable"/>
  </r>
  <r>
    <x v="317"/>
    <x v="85"/>
    <s v="CUST_10317"/>
    <x v="0"/>
    <s v="OUT-XMS-L"/>
    <x v="3"/>
    <s v="Christmas Coat"/>
    <n v="6499"/>
    <n v="1"/>
    <n v="6499"/>
    <s v=""/>
    <n v="0"/>
    <s v="COD"/>
    <x v="2"/>
    <s v="Noida"/>
    <s v="Uttar Pradesh"/>
    <s v="Delhi"/>
    <d v="2025-01-17T00:00:00"/>
    <s v="Delivered"/>
    <x v="1"/>
    <x v="4"/>
    <d v="2025-02-14T00:00:00"/>
    <s v="Processed"/>
  </r>
  <r>
    <x v="318"/>
    <x v="85"/>
    <s v="CUST_10318"/>
    <x v="1"/>
    <s v="ACC-BEL-OS"/>
    <x v="4"/>
    <s v="Bell Earrings"/>
    <n v="499"/>
    <n v="3"/>
    <n v="1497"/>
    <s v="Dec20"/>
    <n v="20"/>
    <s v="Wallet"/>
    <x v="0"/>
    <s v="Gurgaon"/>
    <s v="Haryana"/>
    <s v="Delhi"/>
    <d v="2025-01-16T00:00:00"/>
    <s v="Delivered"/>
    <x v="0"/>
    <x v="2"/>
    <m/>
    <s v="Not Applicable"/>
  </r>
  <r>
    <x v="319"/>
    <x v="85"/>
    <s v="CUST_10319"/>
    <x v="0"/>
    <s v="TOP-RDR-M"/>
    <x v="0"/>
    <s v="Reindeer Top"/>
    <n v="1799"/>
    <n v="1"/>
    <n v="1799"/>
    <s v=""/>
    <n v="0"/>
    <s v="Debit Card"/>
    <x v="1"/>
    <s v="Indore"/>
    <s v="Madhya Pradesh"/>
    <s v="Mumbai"/>
    <d v="2025-01-17T00:00:00"/>
    <s v="Delivered"/>
    <x v="1"/>
    <x v="3"/>
    <d v="2025-02-13T00:00:00"/>
    <s v="Processed"/>
  </r>
  <r>
    <x v="320"/>
    <x v="85"/>
    <s v="CUST_10320"/>
    <x v="0"/>
    <s v="DRS-STR-L"/>
    <x v="1"/>
    <s v="Star Bright Dress"/>
    <n v="4299"/>
    <n v="1"/>
    <n v="4299"/>
    <s v=""/>
    <n v="0"/>
    <s v="Credit Card"/>
    <x v="2"/>
    <s v="Surat"/>
    <s v="Gujarat"/>
    <s v="Mumbai"/>
    <d v="2025-01-18T00:00:00"/>
    <s v="Delivered"/>
    <x v="1"/>
    <x v="1"/>
    <d v="2025-02-15T00:00:00"/>
    <s v="Processed"/>
  </r>
  <r>
    <x v="321"/>
    <x v="86"/>
    <s v="CUST_10321"/>
    <x v="0"/>
    <s v="BOT-MRY-S"/>
    <x v="2"/>
    <s v="Merry Leggings"/>
    <n v="1899"/>
    <n v="1"/>
    <n v="1899"/>
    <s v="Dec20"/>
    <n v="20"/>
    <s v="UPI"/>
    <x v="0"/>
    <s v="Patna"/>
    <s v="Bihar"/>
    <s v="Delhi"/>
    <d v="2025-01-18T00:00:00"/>
    <s v="Delivered"/>
    <x v="0"/>
    <x v="2"/>
    <m/>
    <s v="Not Applicable"/>
  </r>
  <r>
    <x v="322"/>
    <x v="86"/>
    <s v="CUST_10322"/>
    <x v="0"/>
    <s v="OUT-JOL-M"/>
    <x v="3"/>
    <s v="Jolly Jacket"/>
    <n v="4999"/>
    <n v="1"/>
    <n v="4999"/>
    <s v=""/>
    <n v="0"/>
    <s v="COD"/>
    <x v="1"/>
    <s v="Bhopal"/>
    <s v="Madhya Pradesh"/>
    <s v="Mumbai"/>
    <d v="2025-01-19T00:00:00"/>
    <s v="Delivered"/>
    <x v="1"/>
    <x v="5"/>
    <d v="2025-02-16T00:00:00"/>
    <s v="Processed"/>
  </r>
  <r>
    <x v="323"/>
    <x v="86"/>
    <s v="CUST_10323"/>
    <x v="1"/>
    <s v="ACC-GFT-OS"/>
    <x v="4"/>
    <s v="Gift Box Clutch"/>
    <n v="1399"/>
    <n v="1"/>
    <n v="1399"/>
    <s v=""/>
    <n v="0"/>
    <s v="Wallet"/>
    <x v="2"/>
    <s v="Nagpur"/>
    <s v="Maharashtra"/>
    <s v="Mumbai"/>
    <d v="2025-01-18T00:00:00"/>
    <s v="Delivered"/>
    <x v="0"/>
    <x v="2"/>
    <m/>
    <s v="Not Applicable"/>
  </r>
  <r>
    <x v="324"/>
    <x v="86"/>
    <s v="CUST_10324"/>
    <x v="0"/>
    <s v="TOP-HLY-L"/>
    <x v="0"/>
    <s v="Holly Top"/>
    <n v="2099"/>
    <n v="1"/>
    <n v="2099"/>
    <s v="Dec20"/>
    <n v="20"/>
    <s v="Debit Card"/>
    <x v="0"/>
    <s v="Coimbatore"/>
    <s v="Tamil Nadu"/>
    <s v="Bangalore"/>
    <d v="2025-01-19T00:00:00"/>
    <s v="Delivered"/>
    <x v="1"/>
    <x v="6"/>
    <d v="2025-02-15T00:00:00"/>
    <s v="Processed"/>
  </r>
  <r>
    <x v="325"/>
    <x v="87"/>
    <s v="CUST_10325"/>
    <x v="0"/>
    <s v="DRS-BOX-S"/>
    <x v="1"/>
    <s v="Boxing Day Dress"/>
    <n v="2999"/>
    <n v="1"/>
    <n v="2999"/>
    <s v=""/>
    <n v="0"/>
    <s v="Credit Card"/>
    <x v="1"/>
    <s v="Kochi"/>
    <s v="Kerala"/>
    <s v="Bangalore"/>
    <d v="2025-01-20T00:00:00"/>
    <s v="Delivered"/>
    <x v="1"/>
    <x v="1"/>
    <d v="2025-02-17T00:00:00"/>
    <s v="Processed"/>
  </r>
  <r>
    <x v="326"/>
    <x v="87"/>
    <s v="CUST_10326"/>
    <x v="0"/>
    <s v="BOT-SLE-M"/>
    <x v="2"/>
    <s v="Sale Season Pants"/>
    <n v="2199"/>
    <n v="1"/>
    <n v="2199"/>
    <s v=""/>
    <n v="0"/>
    <s v="UPI"/>
    <x v="2"/>
    <s v="Vizag"/>
    <s v="Andhra Pradesh"/>
    <s v="Bangalore"/>
    <d v="2025-01-20T00:00:00"/>
    <s v="Delivered"/>
    <x v="0"/>
    <x v="2"/>
    <m/>
    <s v="Not Applicable"/>
  </r>
  <r>
    <x v="327"/>
    <x v="87"/>
    <s v="CUST_10327"/>
    <x v="0"/>
    <s v="OUT-SAL-L"/>
    <x v="3"/>
    <s v="Sale Special Coat"/>
    <n v="5999"/>
    <n v="1"/>
    <n v="5999"/>
    <s v="Dec20"/>
    <n v="20"/>
    <s v="COD"/>
    <x v="0"/>
    <s v="Thiruvananthapuram"/>
    <s v="Kerala"/>
    <s v="Bangalore"/>
    <d v="2025-01-21T00:00:00"/>
    <s v="Delivered"/>
    <x v="1"/>
    <x v="4"/>
    <d v="2025-02-18T00:00:00"/>
    <s v="Processed"/>
  </r>
  <r>
    <x v="328"/>
    <x v="87"/>
    <s v="CUST_10328"/>
    <x v="1"/>
    <s v="ACC-DIS-OS"/>
    <x v="4"/>
    <s v="Discount Find Bag"/>
    <n v="1299"/>
    <n v="1"/>
    <n v="1299"/>
    <s v=""/>
    <n v="0"/>
    <s v="Wallet"/>
    <x v="1"/>
    <s v="Mysore"/>
    <s v="Karnataka"/>
    <s v="Bangalore"/>
    <d v="2025-01-20T00:00:00"/>
    <s v="Delivered"/>
    <x v="1"/>
    <x v="3"/>
    <d v="2025-02-16T00:00:00"/>
    <s v="Processed"/>
  </r>
  <r>
    <x v="329"/>
    <x v="88"/>
    <s v="CUST_10329"/>
    <x v="0"/>
    <s v="TOP-CLR-M"/>
    <x v="0"/>
    <s v="Clearance Top"/>
    <n v="999"/>
    <n v="2"/>
    <n v="1998"/>
    <s v=""/>
    <n v="0"/>
    <s v="Debit Card"/>
    <x v="2"/>
    <s v="Vadodara"/>
    <s v="Gujarat"/>
    <s v="Mumbai"/>
    <d v="2025-01-21T00:00:00"/>
    <s v="Delivered"/>
    <x v="0"/>
    <x v="2"/>
    <m/>
    <s v="Not Applicable"/>
  </r>
  <r>
    <x v="330"/>
    <x v="88"/>
    <s v="CUST_10330"/>
    <x v="0"/>
    <s v="DRS-END-L"/>
    <x v="1"/>
    <s v="Year End Dress"/>
    <n v="3499"/>
    <n v="1"/>
    <n v="3499"/>
    <s v="Dec20"/>
    <n v="20"/>
    <s v="Credit Card"/>
    <x v="0"/>
    <s v="Rajkot"/>
    <s v="Gujarat"/>
    <s v="Mumbai"/>
    <d v="2025-01-22T00:00:00"/>
    <s v="Delivered"/>
    <x v="1"/>
    <x v="1"/>
    <d v="2025-02-19T00:00:00"/>
    <s v="Processed"/>
  </r>
  <r>
    <x v="331"/>
    <x v="88"/>
    <s v="CUST_10331"/>
    <x v="0"/>
    <s v="BOT-FNL-S"/>
    <x v="2"/>
    <s v="Final Sale Pants"/>
    <n v="1799"/>
    <n v="1"/>
    <n v="1799"/>
    <s v=""/>
    <n v="0"/>
    <s v="UPI"/>
    <x v="1"/>
    <s v="Kanpur"/>
    <s v="Uttar Pradesh"/>
    <s v="Delhi"/>
    <d v="2025-01-22T00:00:00"/>
    <s v="Delivered"/>
    <x v="0"/>
    <x v="2"/>
    <m/>
    <s v="Not Applicable"/>
  </r>
  <r>
    <x v="332"/>
    <x v="88"/>
    <s v="CUST_10332"/>
    <x v="0"/>
    <s v="OUT-LST-M"/>
    <x v="3"/>
    <s v="Last Chance Jacket"/>
    <n v="4599"/>
    <n v="1"/>
    <n v="4599"/>
    <s v=""/>
    <n v="0"/>
    <s v="COD"/>
    <x v="2"/>
    <s v="Mumbai"/>
    <s v="Maharashtra"/>
    <s v="Mumbai"/>
    <d v="2025-01-23T00:00:00"/>
    <s v="Delivered"/>
    <x v="1"/>
    <x v="5"/>
    <d v="2025-02-20T00:00:00"/>
    <s v="Processed"/>
  </r>
  <r>
    <x v="333"/>
    <x v="89"/>
    <s v="CUST_10333"/>
    <x v="1"/>
    <s v="ACC-NWY-OS"/>
    <x v="4"/>
    <s v="New Year Tiara"/>
    <n v="799"/>
    <n v="1"/>
    <n v="799"/>
    <s v="Dec20"/>
    <n v="20"/>
    <s v="Wallet"/>
    <x v="0"/>
    <s v="Delhi"/>
    <s v="Delhi"/>
    <s v="Delhi"/>
    <d v="2025-01-22T00:00:00"/>
    <s v="Delivered"/>
    <x v="0"/>
    <x v="2"/>
    <m/>
    <s v="Not Applicable"/>
  </r>
  <r>
    <x v="334"/>
    <x v="89"/>
    <s v="CUST_10334"/>
    <x v="0"/>
    <s v="TOP-BYE-L"/>
    <x v="0"/>
    <s v="Goodbye 2024 Top"/>
    <n v="1899"/>
    <n v="1"/>
    <n v="1899"/>
    <s v=""/>
    <n v="0"/>
    <s v="Debit Card"/>
    <x v="1"/>
    <s v="Kolkata"/>
    <s v="West Bengal"/>
    <s v="Delhi"/>
    <d v="2025-01-23T00:00:00"/>
    <s v="Delivered"/>
    <x v="1"/>
    <x v="6"/>
    <d v="2025-02-19T00:00:00"/>
    <s v="Processed"/>
  </r>
  <r>
    <x v="335"/>
    <x v="89"/>
    <s v="CUST_10335"/>
    <x v="0"/>
    <s v="DRS-WLC-S"/>
    <x v="1"/>
    <s v="Welcome 2025 Dress"/>
    <n v="4099"/>
    <n v="1"/>
    <n v="4099"/>
    <s v=""/>
    <n v="0"/>
    <s v="Credit Card"/>
    <x v="2"/>
    <s v="Chennai"/>
    <s v="Tamil Nadu"/>
    <s v="Bangalore"/>
    <d v="2025-01-24T00:00:00"/>
    <s v="Delivered"/>
    <x v="1"/>
    <x v="1"/>
    <d v="2025-02-21T00:00:00"/>
    <s v="Processed"/>
  </r>
  <r>
    <x v="336"/>
    <x v="89"/>
    <s v="CUST_10336"/>
    <x v="0"/>
    <s v="BOT-RES-M"/>
    <x v="2"/>
    <s v="Resolution Pants"/>
    <n v="2299"/>
    <n v="1"/>
    <n v="2299"/>
    <s v="Dec20"/>
    <n v="20"/>
    <s v="UPI"/>
    <x v="0"/>
    <s v="Hyderabad"/>
    <s v="Telangana"/>
    <s v="Bangalore"/>
    <d v="2025-01-24T00:00:00"/>
    <s v="Delivered"/>
    <x v="0"/>
    <x v="2"/>
    <m/>
    <s v="Not Applicable"/>
  </r>
  <r>
    <x v="337"/>
    <x v="90"/>
    <s v="CUST_10337"/>
    <x v="0"/>
    <s v="OUT-HOP-L"/>
    <x v="3"/>
    <s v="Hope Coat"/>
    <n v="5799"/>
    <n v="1"/>
    <n v="5799"/>
    <s v=""/>
    <n v="0"/>
    <s v="COD"/>
    <x v="1"/>
    <s v="Pune"/>
    <s v="Maharashtra"/>
    <s v="Mumbai"/>
    <d v="2025-01-25T00:00:00"/>
    <s v="Delivered"/>
    <x v="1"/>
    <x v="4"/>
    <d v="2025-02-22T00:00:00"/>
    <s v="Processed"/>
  </r>
  <r>
    <x v="338"/>
    <x v="90"/>
    <s v="CUST_10338"/>
    <x v="1"/>
    <s v="ACC-DRM-OS"/>
    <x v="4"/>
    <s v="Dream Catcher Earrings"/>
    <n v="699"/>
    <n v="2"/>
    <n v="1398"/>
    <s v=""/>
    <n v="0"/>
    <s v="Wallet"/>
    <x v="2"/>
    <s v="Ahmedabad"/>
    <s v="Gujarat"/>
    <s v="Mumbai"/>
    <d v="2025-01-24T00:00:00"/>
    <s v="Delivered"/>
    <x v="1"/>
    <x v="3"/>
    <d v="2025-02-20T00:00:00"/>
    <s v="Processed"/>
  </r>
  <r>
    <x v="339"/>
    <x v="90"/>
    <s v="CUST_10340"/>
    <x v="0"/>
    <s v="TOP-WIS-M"/>
    <x v="0"/>
    <s v="Wishes Top"/>
    <n v="1999"/>
    <n v="1"/>
    <n v="1999"/>
    <s v="Dec20"/>
    <n v="20"/>
    <s v="Debit Card"/>
    <x v="0"/>
    <s v="Jaipur"/>
    <s v="Rajasthan"/>
    <s v="Delhi"/>
    <d v="2025-01-25T00:00:00"/>
    <s v="Delivered"/>
    <x v="0"/>
    <x v="2"/>
    <m/>
    <s v="Not Applicable"/>
  </r>
  <r>
    <x v="340"/>
    <x v="90"/>
    <s v="CUST_10340"/>
    <x v="0"/>
    <s v="DRS-PRO-L"/>
    <x v="1"/>
    <s v="Promise Dress"/>
    <n v="3899"/>
    <n v="1"/>
    <n v="3899"/>
    <s v=""/>
    <n v="0"/>
    <s v="Credit Card"/>
    <x v="1"/>
    <s v="Lucknow"/>
    <s v="Uttar Pradesh"/>
    <s v="Delhi"/>
    <d v="2025-01-26T00:00:00"/>
    <s v="Delivered"/>
    <x v="1"/>
    <x v="1"/>
    <d v="2025-02-23T00:00:00"/>
    <s v="Processed"/>
  </r>
  <r>
    <x v="341"/>
    <x v="91"/>
    <s v="CUST_10341"/>
    <x v="0"/>
    <s v="BOT-NEW-S"/>
    <x v="2"/>
    <s v="New Beginning Pants"/>
    <n v="2099"/>
    <n v="1"/>
    <n v="2099"/>
    <s v=""/>
    <n v="0"/>
    <s v="UPI"/>
    <x v="2"/>
    <s v="Bangalore"/>
    <s v="Karnataka"/>
    <s v="Bangalore"/>
    <d v="2025-01-26T00:00:00"/>
    <s v="Delivered"/>
    <x v="0"/>
    <x v="2"/>
    <m/>
    <s v="Not Applicable"/>
  </r>
  <r>
    <x v="342"/>
    <x v="91"/>
    <s v="CUST_10342"/>
    <x v="0"/>
    <s v="OUT-FRE-M"/>
    <x v="3"/>
    <s v="Fresh Start Jacket"/>
    <n v="4899"/>
    <n v="1"/>
    <n v="4899"/>
    <s v="Dec20"/>
    <n v="20"/>
    <s v="COD"/>
    <x v="0"/>
    <s v="Mumbai"/>
    <s v="Maharashtra"/>
    <s v="Mumbai"/>
    <d v="2025-01-27T00:00:00"/>
    <s v="Delivered"/>
    <x v="1"/>
    <x v="5"/>
    <d v="2025-02-24T00:00:00"/>
    <s v="Processed"/>
  </r>
  <r>
    <x v="343"/>
    <x v="91"/>
    <s v="CUST_10343"/>
    <x v="1"/>
    <s v="ACC-LCK-OS"/>
    <x v="4"/>
    <s v="Lucky Charm Bracelet"/>
    <n v="599"/>
    <n v="3"/>
    <n v="1797"/>
    <s v=""/>
    <n v="0"/>
    <s v="Wallet"/>
    <x v="1"/>
    <s v="Delhi"/>
    <s v="Delhi"/>
    <s v="Delhi"/>
    <d v="2025-01-26T00:00:00"/>
    <s v="Delivered"/>
    <x v="0"/>
    <x v="2"/>
    <m/>
    <s v="Not Applicable"/>
  </r>
  <r>
    <x v="344"/>
    <x v="91"/>
    <s v="CUST_10344"/>
    <x v="0"/>
    <s v="TOP-BEG-L"/>
    <x v="0"/>
    <s v="Begin Again Top"/>
    <n v="2199"/>
    <n v="1"/>
    <n v="2199"/>
    <s v=""/>
    <n v="0"/>
    <s v="Debit Card"/>
    <x v="2"/>
    <s v="Chandigarh"/>
    <s v="Punjab"/>
    <s v="Delhi"/>
    <d v="2025-01-27T00:00:00"/>
    <s v="Delivered"/>
    <x v="1"/>
    <x v="6"/>
    <d v="2025-02-23T00:00:00"/>
    <s v="Processed"/>
  </r>
  <r>
    <x v="345"/>
    <x v="92"/>
    <s v="CUST_10345"/>
    <x v="0"/>
    <s v="DRS-CNT-S"/>
    <x v="1"/>
    <s v="Countdown Dress"/>
    <n v="4499"/>
    <n v="1"/>
    <n v="4499"/>
    <s v="Dec20"/>
    <n v="20"/>
    <s v="Credit Card"/>
    <x v="0"/>
    <s v="Noida"/>
    <s v="Uttar Pradesh"/>
    <s v="Delhi"/>
    <d v="2025-01-28T00:00:00"/>
    <s v="Delivered"/>
    <x v="1"/>
    <x v="1"/>
    <d v="2025-02-25T00:00:00"/>
    <s v="Proces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862CB-0A7D-45F6-8CED-695FEBC92704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2" firstHeaderRow="1" firstDataRow="1" firstDataCol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axis="axisRow"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2">
    <field x="24"/>
    <field x="1"/>
  </rowFields>
  <rowItems count="109">
    <i>
      <x v="1"/>
    </i>
    <i r="1">
      <x/>
    </i>
    <i>
      <x v="38"/>
    </i>
    <i r="1">
      <x v="1"/>
    </i>
    <i>
      <x v="39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0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1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4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5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6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4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48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>
      <x v="4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>
      <x v="50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>
      <x v="51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t="grand">
      <x/>
    </i>
  </rowItems>
  <colItems count="1">
    <i/>
  </colItems>
  <dataFields count="1">
    <dataField name="Count of Order ID" fld="0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70167-496F-49F5-ABB4-476F51492FC9}" name="PivotTable7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 rowPageCount="1" colPageCount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9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8F7C-4E6B-4DC0-9AF1-83281705F7AD}" name="PivotTable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9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74412-0F13-4F88-859B-C2AC7DC5059E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Returned Orders" fld="0" subtotal="count" baseField="5" baseItem="0"/>
    <dataField name="Returned Revenue" fld="9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13250-4A2B-4B21-A5D1-7711DD7C5E9F}" name="PivotTable1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D3:E19" firstHeaderRow="1" firstDataRow="1" firstDataCol="1" rowPageCount="1" colPageCount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axis="axisRow" showAll="0" sortType="descending">
      <items count="54">
        <item x="30"/>
        <item x="4"/>
        <item x="43"/>
        <item x="21"/>
        <item x="34"/>
        <item x="8"/>
        <item x="47"/>
        <item x="12"/>
        <item x="25"/>
        <item x="51"/>
        <item x="38"/>
        <item x="29"/>
        <item x="16"/>
        <item x="3"/>
        <item x="42"/>
        <item x="20"/>
        <item x="33"/>
        <item x="7"/>
        <item x="46"/>
        <item x="11"/>
        <item x="24"/>
        <item x="50"/>
        <item x="37"/>
        <item x="28"/>
        <item x="15"/>
        <item x="2"/>
        <item x="41"/>
        <item x="19"/>
        <item x="32"/>
        <item x="6"/>
        <item x="45"/>
        <item x="10"/>
        <item x="23"/>
        <item x="49"/>
        <item x="36"/>
        <item x="27"/>
        <item x="14"/>
        <item x="1"/>
        <item x="40"/>
        <item x="18"/>
        <item x="31"/>
        <item x="5"/>
        <item x="44"/>
        <item x="9"/>
        <item x="22"/>
        <item x="48"/>
        <item x="35"/>
        <item x="26"/>
        <item x="13"/>
        <item x="39"/>
        <item x="17"/>
        <item x="52"/>
        <item x="0"/>
        <item t="default"/>
      </items>
    </pivotField>
  </pivotFields>
  <rowFields count="1">
    <field x="24"/>
  </rowFields>
  <rowItems count="16">
    <i>
      <x v="2"/>
    </i>
    <i>
      <x v="6"/>
    </i>
    <i>
      <x v="9"/>
    </i>
    <i>
      <x v="10"/>
    </i>
    <i>
      <x v="14"/>
    </i>
    <i>
      <x v="18"/>
    </i>
    <i>
      <x v="21"/>
    </i>
    <i>
      <x v="26"/>
    </i>
    <i>
      <x v="30"/>
    </i>
    <i>
      <x v="33"/>
    </i>
    <i>
      <x v="37"/>
    </i>
    <i>
      <x v="38"/>
    </i>
    <i>
      <x v="42"/>
    </i>
    <i>
      <x v="45"/>
    </i>
    <i>
      <x v="49"/>
    </i>
    <i t="grand">
      <x/>
    </i>
  </rowItems>
  <colItems count="1">
    <i/>
  </colItems>
  <pageFields count="1">
    <pageField fld="19" hier="-1"/>
  </pageFields>
  <dataFields count="1">
    <dataField name="Weekly Orders" fld="0" subtotal="count" baseField="24" baseItem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4CF6D-0096-4939-8011-94F80C1851C3}" name="PivotTable8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25">
    <pivotField dataField="1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axis="axisRow" showAll="0" sortType="descending">
      <items count="54">
        <item x="30"/>
        <item x="4"/>
        <item x="43"/>
        <item x="21"/>
        <item x="34"/>
        <item x="8"/>
        <item x="47"/>
        <item x="12"/>
        <item x="25"/>
        <item x="51"/>
        <item x="38"/>
        <item x="29"/>
        <item x="16"/>
        <item x="3"/>
        <item x="42"/>
        <item x="20"/>
        <item x="33"/>
        <item x="7"/>
        <item x="46"/>
        <item x="11"/>
        <item x="24"/>
        <item x="50"/>
        <item x="37"/>
        <item x="28"/>
        <item x="15"/>
        <item x="2"/>
        <item x="41"/>
        <item x="19"/>
        <item x="32"/>
        <item x="6"/>
        <item x="45"/>
        <item x="10"/>
        <item x="23"/>
        <item x="49"/>
        <item x="36"/>
        <item x="27"/>
        <item x="14"/>
        <item x="1"/>
        <item x="40"/>
        <item x="18"/>
        <item x="31"/>
        <item x="5"/>
        <item x="44"/>
        <item x="9"/>
        <item x="22"/>
        <item x="48"/>
        <item x="35"/>
        <item x="26"/>
        <item x="13"/>
        <item x="39"/>
        <item x="17"/>
        <item x="52"/>
        <item x="0"/>
        <item t="default"/>
      </items>
    </pivotField>
  </pivotFields>
  <rowFields count="1">
    <field x="24"/>
  </rowFields>
  <rowItems count="15">
    <i>
      <x v="2"/>
    </i>
    <i>
      <x v="6"/>
    </i>
    <i>
      <x v="9"/>
    </i>
    <i>
      <x v="10"/>
    </i>
    <i>
      <x v="14"/>
    </i>
    <i>
      <x v="18"/>
    </i>
    <i>
      <x v="21"/>
    </i>
    <i>
      <x v="26"/>
    </i>
    <i>
      <x v="30"/>
    </i>
    <i>
      <x v="33"/>
    </i>
    <i>
      <x v="38"/>
    </i>
    <i>
      <x v="42"/>
    </i>
    <i>
      <x v="45"/>
    </i>
    <i>
      <x v="49"/>
    </i>
    <i t="grand">
      <x/>
    </i>
  </rowItems>
  <colItems count="1">
    <i/>
  </colItems>
  <pageFields count="1">
    <pageField fld="19" hier="-1"/>
  </pageFields>
  <dataFields count="1">
    <dataField name="Weekly Returns" fld="0" subtotal="count" baseField="24" baseItem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7D3D8-F3D5-4501-81AD-C8C9782AA1B5}" name="PivotTable1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 rowPageCount="1" colPageCount="1"/>
  <pivotFields count="25">
    <pivotField dataField="1" showAll="0"/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9" hier="-1"/>
  </pageFields>
  <dataFields count="1">
    <dataField name="Total Order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E715F-8ED1-4512-8654-C3DD6A870129}" name="PivotTable1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5">
    <pivotField dataField="1" showAll="0"/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9" hier="-1"/>
  </pageFields>
  <dataFields count="1">
    <dataField name="Returned Order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77212-D20F-4846-BDAC-64A4305D672F}" name="PivotTable2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25">
    <pivotField dataField="1" showAll="0"/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8">
        <item x="2"/>
        <item x="4"/>
        <item x="6"/>
        <item x="3"/>
        <item x="1"/>
        <item x="5"/>
        <item x="0"/>
        <item t="default"/>
      </items>
    </pivotField>
    <pivotField showAll="0"/>
    <pivotField showAll="0"/>
    <pivotField dragToRow="0" dragToCol="0" dragToPage="0" showAll="0" defaultSubtotal="0"/>
    <pivotField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1">
    <field x="2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9" hier="-1"/>
  </pageFields>
  <dataFields count="1">
    <dataField name="Return count" fld="0" subtotal="count" baseField="2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0E67B-04B8-47FE-A320-F07EB910D8A0}" name="PivotTable2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17" firstHeaderRow="1" firstDataRow="2" firstDataCol="1" rowPageCount="1" colPageCount="1"/>
  <pivotFields count="25">
    <pivotField dataField="1" showAll="0"/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9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933BD-0B28-4C61-B0A0-F75253481D8D}" name="PivotTable2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 rowPageCount="1" colPageCount="1"/>
  <pivotFields count="25">
    <pivotField dataField="1" showAll="0"/>
    <pivotField numFmtId="14" showAll="0">
      <items count="9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ragToRow="0" dragToCol="0" dragToPage="0" showAll="0" defaultSubtotal="0"/>
    <pivotField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9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F7249D-0720-4455-B224-57A7D0C2A862}" autoFormatId="16" applyNumberFormats="0" applyBorderFormats="0" applyFontFormats="0" applyPatternFormats="0" applyAlignmentFormats="0" applyWidthHeightFormats="0">
  <queryTableRefresh nextId="25">
    <queryTableFields count="23">
      <queryTableField id="1" name="Order ID" tableColumnId="1"/>
      <queryTableField id="2" name="Order Date" tableColumnId="2"/>
      <queryTableField id="3" name="Customer ID" tableColumnId="3"/>
      <queryTableField id="4" name="Type" tableColumnId="4"/>
      <queryTableField id="5" name="SKU" tableColumnId="5"/>
      <queryTableField id="6" name="Category" tableColumnId="6"/>
      <queryTableField id="7" name="Product Name" tableColumnId="7"/>
      <queryTableField id="8" name="Unit Price" tableColumnId="8"/>
      <queryTableField id="9" name="Qty" tableColumnId="9"/>
      <queryTableField id="10" name="Total" tableColumnId="10"/>
      <queryTableField id="11" name="Discount Code" tableColumnId="11"/>
      <queryTableField id="12" name="Disc %" tableColumnId="12"/>
      <queryTableField id="13" name="Payment" tableColumnId="13"/>
      <queryTableField id="14" name="Source" tableColumnId="14"/>
      <queryTableField id="15" name="City" tableColumnId="15"/>
      <queryTableField id="16" name="State" tableColumnId="16"/>
      <queryTableField id="17" name="Warehouse" tableColumnId="17"/>
      <queryTableField id="18" name="Del Date" tableColumnId="18"/>
      <queryTableField id="19" name="Status" tableColumnId="19"/>
      <queryTableField id="20" name="Return?" tableColumnId="20"/>
      <queryTableField id="21" name="Reason" tableColumnId="21"/>
      <queryTableField id="22" name="Ret Rec" tableColumnId="22"/>
      <queryTableField id="23" name="Refun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B6E64-04AE-4716-BEE9-3CD5EFD47A20}" name="urbanthreads_q4" displayName="urbanthreads_q4" ref="A1:W347" tableType="queryTable" totalsRowShown="0">
  <autoFilter ref="A1:W347" xr:uid="{FF0B6E64-04AE-4716-BEE9-3CD5EFD47A20}"/>
  <tableColumns count="23">
    <tableColumn id="1" xr3:uid="{EADC3E01-B6DF-401D-B650-6EDEB6994FB8}" uniqueName="1" name="Order ID" queryTableFieldId="1" dataDxfId="18"/>
    <tableColumn id="2" xr3:uid="{2294E9DD-2D68-47C4-A278-5D9A945CEA8A}" uniqueName="2" name="Order Date" queryTableFieldId="2" dataDxfId="17"/>
    <tableColumn id="3" xr3:uid="{EA22EDE8-6E37-4774-A1B3-BD99039050EA}" uniqueName="3" name="Customer ID" queryTableFieldId="3" dataDxfId="16"/>
    <tableColumn id="4" xr3:uid="{28198061-0218-478C-BF44-A5F2537A762B}" uniqueName="4" name="Type" queryTableFieldId="4" dataDxfId="15"/>
    <tableColumn id="5" xr3:uid="{FAC8C4AE-9A11-452D-8A18-08E36F3A50CA}" uniqueName="5" name="SKU" queryTableFieldId="5" dataDxfId="14"/>
    <tableColumn id="6" xr3:uid="{C45FC154-A617-43FE-9664-B94864EC70EB}" uniqueName="6" name="Category" queryTableFieldId="6" dataDxfId="13"/>
    <tableColumn id="7" xr3:uid="{8E47C167-61B7-486C-9F3F-121393114007}" uniqueName="7" name="Product Name" queryTableFieldId="7" dataDxfId="12"/>
    <tableColumn id="8" xr3:uid="{ABA93101-B51E-4AD1-AA7B-D48DD829C20C}" uniqueName="8" name="Unit Price" queryTableFieldId="8"/>
    <tableColumn id="9" xr3:uid="{0F4E9B95-3CFA-4AB5-902D-209338515410}" uniqueName="9" name="Qty" queryTableFieldId="9"/>
    <tableColumn id="10" xr3:uid="{C68D4820-D17B-495A-8BCF-99F96EBCDDBE}" uniqueName="10" name="Total" queryTableFieldId="10"/>
    <tableColumn id="11" xr3:uid="{8EB39C39-CE50-4F9E-99C4-597A91FBB1C3}" uniqueName="11" name="Discount Code" queryTableFieldId="11" dataDxfId="11"/>
    <tableColumn id="12" xr3:uid="{2152C761-C873-4EFC-AF10-23DE430FD9A3}" uniqueName="12" name="Disc %" queryTableFieldId="12"/>
    <tableColumn id="13" xr3:uid="{FBEE0FAF-508A-4C32-B120-225127E8E62F}" uniqueName="13" name="Payment" queryTableFieldId="13" dataDxfId="10"/>
    <tableColumn id="14" xr3:uid="{166D5223-2537-42BC-BA4B-929665EE7346}" uniqueName="14" name="Source" queryTableFieldId="14" dataDxfId="9"/>
    <tableColumn id="15" xr3:uid="{78040987-92DE-4108-801D-7FA227089000}" uniqueName="15" name="City" queryTableFieldId="15" dataDxfId="8"/>
    <tableColumn id="16" xr3:uid="{6DDBEBD8-E256-45FE-AA19-2360A53D1C59}" uniqueName="16" name="State" queryTableFieldId="16" dataDxfId="7"/>
    <tableColumn id="17" xr3:uid="{113FF131-3A75-4730-9110-532155F5BFF7}" uniqueName="17" name="Warehouse" queryTableFieldId="17" dataDxfId="6"/>
    <tableColumn id="18" xr3:uid="{635FF330-9DD8-4EA9-B05E-6D62DF2411FD}" uniqueName="18" name="Del Date" queryTableFieldId="18" dataDxfId="5"/>
    <tableColumn id="19" xr3:uid="{95B0ACFF-9753-4DB4-9A93-9A12E605C1FD}" uniqueName="19" name="Status" queryTableFieldId="19" dataDxfId="4"/>
    <tableColumn id="20" xr3:uid="{818216FB-4DCD-4C43-A959-CCE6180C9DAC}" uniqueName="20" name="Return?" queryTableFieldId="20" dataDxfId="3"/>
    <tableColumn id="21" xr3:uid="{F4673C4E-D062-47B0-A66E-C988294F534E}" uniqueName="21" name="Reason" queryTableFieldId="21" dataDxfId="2"/>
    <tableColumn id="22" xr3:uid="{D971B7AA-4A61-4365-BB5C-E468EC7BDF62}" uniqueName="22" name="Ret Rec" queryTableFieldId="22" dataDxfId="1"/>
    <tableColumn id="23" xr3:uid="{A5EAFB13-67DB-41EE-B1B7-B7E84C8BBA67}" uniqueName="23" name="Refund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2863-572D-4B28-8987-00FF5CC96149}">
  <dimension ref="A1:AQ347"/>
  <sheetViews>
    <sheetView topLeftCell="G263" zoomScale="89" zoomScaleNormal="55" workbookViewId="0">
      <selection activeCell="S14" sqref="S14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3.5546875" bestFit="1" customWidth="1"/>
    <col min="4" max="4" width="8.77734375" bestFit="1" customWidth="1"/>
    <col min="5" max="5" width="12.44140625" bestFit="1" customWidth="1"/>
    <col min="6" max="6" width="10.77734375" bestFit="1" customWidth="1"/>
    <col min="7" max="7" width="21.6640625" bestFit="1" customWidth="1"/>
    <col min="8" max="8" width="11.33203125" bestFit="1" customWidth="1"/>
    <col min="9" max="9" width="6.21875" bestFit="1" customWidth="1"/>
    <col min="10" max="10" width="7.44140625" bestFit="1" customWidth="1"/>
    <col min="11" max="11" width="15.44140625" bestFit="1" customWidth="1"/>
    <col min="12" max="12" width="8.44140625" bestFit="1" customWidth="1"/>
    <col min="13" max="13" width="10.77734375" bestFit="1" customWidth="1"/>
    <col min="14" max="14" width="13.6640625" bestFit="1" customWidth="1"/>
    <col min="15" max="15" width="18.109375" bestFit="1" customWidth="1"/>
    <col min="16" max="16" width="15.5546875" bestFit="1" customWidth="1"/>
    <col min="17" max="17" width="12.77734375" bestFit="1" customWidth="1"/>
    <col min="18" max="18" width="10.33203125" bestFit="1" customWidth="1"/>
    <col min="19" max="19" width="9.6640625" bestFit="1" customWidth="1"/>
    <col min="20" max="20" width="9.77734375" bestFit="1" customWidth="1"/>
    <col min="21" max="21" width="16.6640625" bestFit="1" customWidth="1"/>
    <col min="22" max="22" width="10.33203125" bestFit="1" customWidth="1"/>
    <col min="23" max="23" width="12.88671875" bestFit="1" customWidth="1"/>
    <col min="28" max="28" width="17.33203125" style="2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B1" s="2" t="s">
        <v>1504</v>
      </c>
    </row>
    <row r="2" spans="1:43" x14ac:dyDescent="0.3">
      <c r="A2" t="s">
        <v>23</v>
      </c>
      <c r="B2" s="1">
        <v>45566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1299</v>
      </c>
      <c r="I2">
        <v>2</v>
      </c>
      <c r="J2">
        <v>2598</v>
      </c>
      <c r="K2" t="s">
        <v>29</v>
      </c>
      <c r="L2">
        <v>0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 s="1">
        <v>45570</v>
      </c>
      <c r="S2" t="s">
        <v>34</v>
      </c>
      <c r="T2" t="s">
        <v>35</v>
      </c>
      <c r="V2" s="1"/>
      <c r="W2" t="s">
        <v>36</v>
      </c>
      <c r="AA2">
        <f>COUNTBLANK(U2:U347)</f>
        <v>166</v>
      </c>
      <c r="AB2" s="2">
        <f>COUNTIF(A$2:A$347,A2)</f>
        <v>1</v>
      </c>
      <c r="AC2">
        <f>LEN(S2)-LEN(TRIM(S2))</f>
        <v>0</v>
      </c>
      <c r="AD2">
        <f>LEN(E2)-LEN(SUBSTITUTE(E2,"-",""))</f>
        <v>2</v>
      </c>
      <c r="AE2" t="str">
        <f>IF(I2&gt;10,"FLAG","OK")</f>
        <v>OK</v>
      </c>
      <c r="AF2" t="str">
        <f>IF(OR(H2&lt;=0,H2&gt;10000),"FLAG","OK")</f>
        <v>OK</v>
      </c>
      <c r="AG2" t="str">
        <f>IF(OR(L2&lt;0,L2&gt;100),"FLAG","OK")</f>
        <v>OK</v>
      </c>
      <c r="AH2">
        <f>ROUND((H2*I2)*(1-L2/100),0)</f>
        <v>2598</v>
      </c>
      <c r="AI2" t="str">
        <f>IF(AG2=J2,"OK","ERROR")</f>
        <v>ERROR</v>
      </c>
      <c r="AJ2" t="str">
        <f>IF(R2&lt;B2,"ERROR","OK")</f>
        <v>OK</v>
      </c>
      <c r="AK2" t="str">
        <f>IF(AND(S2="Cancelled",R2&lt;&gt;""),"ERROR","OK")</f>
        <v>OK</v>
      </c>
      <c r="AL2" t="str">
        <f>IF(AND(T2="Yes",U2=""),"ERROR","OK")</f>
        <v>OK</v>
      </c>
      <c r="AM2" t="str">
        <f>IF(V2&lt;R2,"ERROR","OK")</f>
        <v>ERROR</v>
      </c>
      <c r="AN2" t="str">
        <f>IF(AND(I2&gt;0,MOD(I2,1)=0),"OK","ERROR")</f>
        <v>OK</v>
      </c>
      <c r="AO2" t="str">
        <f>IF(OR(B2="",B2&lt;DATE(2024,10,1),B2&gt;DATE(2024,12,31)),"ERROR","OK")</f>
        <v>OK</v>
      </c>
      <c r="AP2" t="str">
        <f>IF(OR(B2&lt;DATE(2024,10,1),B2&gt;DATE(2024,12,31)),"ERROR","OK")</f>
        <v>OK</v>
      </c>
      <c r="AQ2" t="str">
        <f>IF(OR(S2="Delivered",S2="Cancelled",S2="RTO",S2="In Transit"),"OK","ERROR")</f>
        <v>OK</v>
      </c>
    </row>
    <row r="3" spans="1:43" x14ac:dyDescent="0.3">
      <c r="A3" t="s">
        <v>37</v>
      </c>
      <c r="B3" s="1">
        <v>45566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>
        <v>2499</v>
      </c>
      <c r="I3">
        <v>1</v>
      </c>
      <c r="J3">
        <v>2499</v>
      </c>
      <c r="K3" t="s">
        <v>43</v>
      </c>
      <c r="L3">
        <v>20</v>
      </c>
      <c r="M3" t="s">
        <v>44</v>
      </c>
      <c r="N3" t="s">
        <v>45</v>
      </c>
      <c r="O3" t="s">
        <v>46</v>
      </c>
      <c r="P3" t="s">
        <v>46</v>
      </c>
      <c r="Q3" t="s">
        <v>46</v>
      </c>
      <c r="R3" s="1">
        <v>45569</v>
      </c>
      <c r="S3" t="s">
        <v>34</v>
      </c>
      <c r="T3" t="s">
        <v>47</v>
      </c>
      <c r="U3" t="s">
        <v>48</v>
      </c>
      <c r="V3" s="1">
        <v>45580</v>
      </c>
      <c r="W3" t="s">
        <v>49</v>
      </c>
      <c r="AA3">
        <f>COUNTBLANK(R2:R347)</f>
        <v>18</v>
      </c>
      <c r="AB3" s="2">
        <f t="shared" ref="AB3:AB66" si="0">COUNTIF(A$2:A$347,A3)</f>
        <v>1</v>
      </c>
      <c r="AC3">
        <f t="shared" ref="AC3:AC66" si="1">LEN(S3)-LEN(TRIM(S3))</f>
        <v>0</v>
      </c>
      <c r="AD3">
        <f t="shared" ref="AD3:AD66" si="2">LEN(E3)-LEN(SUBSTITUTE(E3,"-",""))</f>
        <v>2</v>
      </c>
      <c r="AE3" t="str">
        <f t="shared" ref="AE3:AE66" si="3">IF(I3&gt;10,"FLAG","OK")</f>
        <v>OK</v>
      </c>
      <c r="AF3" t="str">
        <f t="shared" ref="AF3:AF66" si="4">IF(OR(H3&lt;=0,H3&gt;10000),"FLAG","OK")</f>
        <v>OK</v>
      </c>
      <c r="AG3" t="str">
        <f t="shared" ref="AG3:AG66" si="5">IF(OR(L3&lt;0,L3&gt;100),"FLAG","OK")</f>
        <v>OK</v>
      </c>
      <c r="AI3" t="str">
        <f t="shared" ref="AI3:AI66" si="6">IF(AG3=J3,"OK","ERROR")</f>
        <v>ERROR</v>
      </c>
      <c r="AJ3" t="str">
        <f t="shared" ref="AJ3:AJ66" si="7">IF(R3&lt;B3,"ERROR","OK")</f>
        <v>OK</v>
      </c>
      <c r="AK3" t="str">
        <f t="shared" ref="AK3:AK66" si="8">IF(AND(S3="Cancelled",R3&lt;&gt;""),"ERROR","OK")</f>
        <v>OK</v>
      </c>
      <c r="AL3" t="str">
        <f t="shared" ref="AL3:AL66" si="9">IF(AND(T3="Yes",U3=""),"ERROR","OK")</f>
        <v>OK</v>
      </c>
      <c r="AM3" t="str">
        <f t="shared" ref="AM3:AM66" si="10">IF(V3&lt;R3,"ERROR","OK")</f>
        <v>OK</v>
      </c>
      <c r="AN3" t="str">
        <f t="shared" ref="AN3:AN66" si="11">IF(AND(I3&gt;0,MOD(I3,1)=0),"OK","ERROR")</f>
        <v>OK</v>
      </c>
      <c r="AO3" t="str">
        <f t="shared" ref="AO3:AO66" si="12">IF(OR(B3="",B3&lt;DATE(2024,10,1),B3&gt;DATE(2024,12,31)),"ERROR","OK")</f>
        <v>OK</v>
      </c>
      <c r="AP3" t="str">
        <f t="shared" ref="AP3:AP66" si="13">IF(OR(B3&lt;DATE(2024,10,1),B3&gt;DATE(2024,12,31)),"ERROR","OK")</f>
        <v>OK</v>
      </c>
      <c r="AQ3" t="str">
        <f t="shared" ref="AQ3:AQ66" si="14">IF(OR(S3="Delivered",S3="Cancelled",S3="RTO",S3="In Transit"),"OK","ERROR")</f>
        <v>OK</v>
      </c>
    </row>
    <row r="4" spans="1:43" x14ac:dyDescent="0.3">
      <c r="A4" t="s">
        <v>50</v>
      </c>
      <c r="B4" s="1">
        <v>45301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>
        <v>1899</v>
      </c>
      <c r="I4">
        <v>1</v>
      </c>
      <c r="J4">
        <v>1899</v>
      </c>
      <c r="K4" t="s">
        <v>29</v>
      </c>
      <c r="L4">
        <v>0</v>
      </c>
      <c r="M4" t="s">
        <v>56</v>
      </c>
      <c r="N4" t="s">
        <v>31</v>
      </c>
      <c r="O4" t="s">
        <v>57</v>
      </c>
      <c r="P4" t="s">
        <v>58</v>
      </c>
      <c r="Q4" t="s">
        <v>57</v>
      </c>
      <c r="R4" s="1">
        <v>45571</v>
      </c>
      <c r="S4" t="s">
        <v>34</v>
      </c>
      <c r="T4" t="s">
        <v>35</v>
      </c>
      <c r="U4" t="s">
        <v>29</v>
      </c>
      <c r="V4" s="1"/>
      <c r="W4" t="s">
        <v>36</v>
      </c>
      <c r="AA4">
        <f>COUNTBLANK(K2:K347)</f>
        <v>206</v>
      </c>
      <c r="AB4" s="2">
        <f t="shared" si="0"/>
        <v>1</v>
      </c>
      <c r="AC4">
        <f t="shared" si="1"/>
        <v>0</v>
      </c>
      <c r="AD4">
        <f t="shared" si="2"/>
        <v>2</v>
      </c>
      <c r="AE4" t="str">
        <f t="shared" si="3"/>
        <v>OK</v>
      </c>
      <c r="AF4" t="str">
        <f t="shared" si="4"/>
        <v>OK</v>
      </c>
      <c r="AG4" t="str">
        <f t="shared" si="5"/>
        <v>OK</v>
      </c>
      <c r="AI4" t="str">
        <f t="shared" si="6"/>
        <v>ERROR</v>
      </c>
      <c r="AJ4" t="str">
        <f t="shared" si="7"/>
        <v>OK</v>
      </c>
      <c r="AK4" t="str">
        <f t="shared" si="8"/>
        <v>OK</v>
      </c>
      <c r="AL4" t="str">
        <f t="shared" si="9"/>
        <v>OK</v>
      </c>
      <c r="AM4" t="str">
        <f t="shared" si="10"/>
        <v>ERROR</v>
      </c>
      <c r="AN4" t="str">
        <f t="shared" si="11"/>
        <v>OK</v>
      </c>
      <c r="AO4" t="str">
        <f t="shared" si="12"/>
        <v>ERROR</v>
      </c>
      <c r="AP4" t="str">
        <f t="shared" si="13"/>
        <v>ERROR</v>
      </c>
      <c r="AQ4" t="str">
        <f t="shared" si="14"/>
        <v>OK</v>
      </c>
    </row>
    <row r="5" spans="1:43" x14ac:dyDescent="0.3">
      <c r="A5" t="s">
        <v>59</v>
      </c>
      <c r="B5" s="1">
        <v>45566</v>
      </c>
      <c r="C5" t="s">
        <v>60</v>
      </c>
      <c r="D5" t="s">
        <v>25</v>
      </c>
      <c r="E5" t="s">
        <v>61</v>
      </c>
      <c r="F5" t="s">
        <v>62</v>
      </c>
      <c r="G5" t="s">
        <v>63</v>
      </c>
      <c r="H5">
        <v>3499</v>
      </c>
      <c r="I5">
        <v>1</v>
      </c>
      <c r="J5">
        <v>3499</v>
      </c>
      <c r="K5" t="s">
        <v>64</v>
      </c>
      <c r="L5">
        <v>15</v>
      </c>
      <c r="M5" t="s">
        <v>65</v>
      </c>
      <c r="N5" t="s">
        <v>66</v>
      </c>
      <c r="O5" t="s">
        <v>67</v>
      </c>
      <c r="P5" t="s">
        <v>68</v>
      </c>
      <c r="Q5" t="s">
        <v>32</v>
      </c>
      <c r="R5" s="1">
        <v>45573</v>
      </c>
      <c r="S5" t="s">
        <v>34</v>
      </c>
      <c r="T5" t="s">
        <v>47</v>
      </c>
      <c r="U5" t="s">
        <v>69</v>
      </c>
      <c r="V5" s="1">
        <v>45585</v>
      </c>
      <c r="W5" t="s">
        <v>49</v>
      </c>
      <c r="AA5">
        <f>COUNTBLANK(V2:V347)</f>
        <v>166</v>
      </c>
      <c r="AB5" s="2">
        <f t="shared" si="0"/>
        <v>1</v>
      </c>
      <c r="AC5">
        <f t="shared" si="1"/>
        <v>0</v>
      </c>
      <c r="AD5">
        <f t="shared" si="2"/>
        <v>2</v>
      </c>
      <c r="AE5" t="str">
        <f t="shared" si="3"/>
        <v>OK</v>
      </c>
      <c r="AF5" t="str">
        <f t="shared" si="4"/>
        <v>OK</v>
      </c>
      <c r="AG5" t="str">
        <f t="shared" si="5"/>
        <v>OK</v>
      </c>
      <c r="AI5" t="str">
        <f t="shared" si="6"/>
        <v>ERROR</v>
      </c>
      <c r="AJ5" t="str">
        <f t="shared" si="7"/>
        <v>OK</v>
      </c>
      <c r="AK5" t="str">
        <f t="shared" si="8"/>
        <v>OK</v>
      </c>
      <c r="AL5" t="str">
        <f t="shared" si="9"/>
        <v>OK</v>
      </c>
      <c r="AM5" t="str">
        <f t="shared" si="10"/>
        <v>OK</v>
      </c>
      <c r="AN5" t="str">
        <f t="shared" si="11"/>
        <v>OK</v>
      </c>
      <c r="AO5" t="str">
        <f t="shared" si="12"/>
        <v>OK</v>
      </c>
      <c r="AP5" t="str">
        <f t="shared" si="13"/>
        <v>OK</v>
      </c>
      <c r="AQ5" t="str">
        <f t="shared" si="14"/>
        <v>OK</v>
      </c>
    </row>
    <row r="6" spans="1:43" x14ac:dyDescent="0.3">
      <c r="A6" t="s">
        <v>70</v>
      </c>
      <c r="B6" s="1">
        <v>45566</v>
      </c>
      <c r="C6" t="s">
        <v>24</v>
      </c>
      <c r="D6" t="s">
        <v>25</v>
      </c>
      <c r="E6" t="s">
        <v>71</v>
      </c>
      <c r="F6" t="s">
        <v>72</v>
      </c>
      <c r="G6" t="s">
        <v>73</v>
      </c>
      <c r="H6">
        <v>799</v>
      </c>
      <c r="I6">
        <v>3</v>
      </c>
      <c r="J6">
        <v>2397</v>
      </c>
      <c r="K6" t="s">
        <v>29</v>
      </c>
      <c r="L6">
        <v>0</v>
      </c>
      <c r="M6" t="s">
        <v>30</v>
      </c>
      <c r="N6" t="s">
        <v>31</v>
      </c>
      <c r="O6" t="s">
        <v>32</v>
      </c>
      <c r="P6" t="s">
        <v>33</v>
      </c>
      <c r="Q6" t="s">
        <v>32</v>
      </c>
      <c r="R6" s="1">
        <v>45571</v>
      </c>
      <c r="S6" t="s">
        <v>34</v>
      </c>
      <c r="T6" t="s">
        <v>35</v>
      </c>
      <c r="U6" t="s">
        <v>29</v>
      </c>
      <c r="V6" s="1"/>
      <c r="W6" t="s">
        <v>36</v>
      </c>
      <c r="AB6" s="2">
        <f t="shared" si="0"/>
        <v>1</v>
      </c>
      <c r="AC6">
        <f t="shared" si="1"/>
        <v>0</v>
      </c>
      <c r="AD6">
        <f t="shared" si="2"/>
        <v>2</v>
      </c>
      <c r="AE6" t="str">
        <f t="shared" si="3"/>
        <v>OK</v>
      </c>
      <c r="AF6" t="str">
        <f t="shared" si="4"/>
        <v>OK</v>
      </c>
      <c r="AG6" t="str">
        <f t="shared" si="5"/>
        <v>OK</v>
      </c>
      <c r="AI6" t="str">
        <f t="shared" si="6"/>
        <v>ERROR</v>
      </c>
      <c r="AJ6" t="str">
        <f t="shared" si="7"/>
        <v>OK</v>
      </c>
      <c r="AK6" t="str">
        <f t="shared" si="8"/>
        <v>OK</v>
      </c>
      <c r="AL6" t="str">
        <f t="shared" si="9"/>
        <v>OK</v>
      </c>
      <c r="AM6" t="str">
        <f t="shared" si="10"/>
        <v>ERROR</v>
      </c>
      <c r="AN6" t="str">
        <f t="shared" si="11"/>
        <v>OK</v>
      </c>
      <c r="AO6" t="str">
        <f t="shared" si="12"/>
        <v>OK</v>
      </c>
      <c r="AP6" t="str">
        <f t="shared" si="13"/>
        <v>OK</v>
      </c>
      <c r="AQ6" t="str">
        <f t="shared" si="14"/>
        <v>OK</v>
      </c>
    </row>
    <row r="7" spans="1:43" x14ac:dyDescent="0.3">
      <c r="A7" t="s">
        <v>74</v>
      </c>
      <c r="B7" s="1">
        <v>45567</v>
      </c>
      <c r="C7" t="s">
        <v>75</v>
      </c>
      <c r="D7" t="s">
        <v>39</v>
      </c>
      <c r="E7" t="s">
        <v>76</v>
      </c>
      <c r="F7" t="s">
        <v>27</v>
      </c>
      <c r="G7" t="s">
        <v>77</v>
      </c>
      <c r="H7">
        <v>1599</v>
      </c>
      <c r="I7">
        <v>2</v>
      </c>
      <c r="J7">
        <v>3198</v>
      </c>
      <c r="K7" t="s">
        <v>29</v>
      </c>
      <c r="L7">
        <v>0</v>
      </c>
      <c r="M7" t="s">
        <v>44</v>
      </c>
      <c r="N7" t="s">
        <v>45</v>
      </c>
      <c r="O7" t="s">
        <v>78</v>
      </c>
      <c r="P7" t="s">
        <v>79</v>
      </c>
      <c r="Q7" t="s">
        <v>57</v>
      </c>
      <c r="R7" s="1">
        <v>45572</v>
      </c>
      <c r="S7" t="s">
        <v>34</v>
      </c>
      <c r="T7" t="s">
        <v>47</v>
      </c>
      <c r="U7" t="s">
        <v>80</v>
      </c>
      <c r="V7" s="1">
        <v>45583</v>
      </c>
      <c r="W7" t="s">
        <v>49</v>
      </c>
      <c r="AB7" s="2">
        <f t="shared" si="0"/>
        <v>1</v>
      </c>
      <c r="AC7">
        <f t="shared" si="1"/>
        <v>0</v>
      </c>
      <c r="AD7">
        <f t="shared" si="2"/>
        <v>2</v>
      </c>
      <c r="AE7" t="str">
        <f t="shared" si="3"/>
        <v>OK</v>
      </c>
      <c r="AF7" t="str">
        <f t="shared" si="4"/>
        <v>OK</v>
      </c>
      <c r="AG7" t="str">
        <f t="shared" si="5"/>
        <v>OK</v>
      </c>
      <c r="AI7" t="str">
        <f t="shared" si="6"/>
        <v>ERROR</v>
      </c>
      <c r="AJ7" t="str">
        <f t="shared" si="7"/>
        <v>OK</v>
      </c>
      <c r="AK7" t="str">
        <f t="shared" si="8"/>
        <v>OK</v>
      </c>
      <c r="AL7" t="str">
        <f t="shared" si="9"/>
        <v>OK</v>
      </c>
      <c r="AM7" t="str">
        <f t="shared" si="10"/>
        <v>OK</v>
      </c>
      <c r="AN7" t="str">
        <f t="shared" si="11"/>
        <v>OK</v>
      </c>
      <c r="AO7" t="str">
        <f t="shared" si="12"/>
        <v>OK</v>
      </c>
      <c r="AP7" t="str">
        <f t="shared" si="13"/>
        <v>OK</v>
      </c>
      <c r="AQ7" t="str">
        <f t="shared" si="14"/>
        <v>OK</v>
      </c>
    </row>
    <row r="8" spans="1:43" x14ac:dyDescent="0.3">
      <c r="A8" t="s">
        <v>81</v>
      </c>
      <c r="B8" s="1">
        <v>45567</v>
      </c>
      <c r="C8" t="s">
        <v>82</v>
      </c>
      <c r="D8" t="s">
        <v>25</v>
      </c>
      <c r="E8" t="s">
        <v>83</v>
      </c>
      <c r="F8" t="s">
        <v>41</v>
      </c>
      <c r="G8" t="s">
        <v>84</v>
      </c>
      <c r="H8">
        <v>2199</v>
      </c>
      <c r="I8">
        <v>1</v>
      </c>
      <c r="J8">
        <v>2199</v>
      </c>
      <c r="K8" t="s">
        <v>43</v>
      </c>
      <c r="L8">
        <v>20</v>
      </c>
      <c r="M8" t="s">
        <v>56</v>
      </c>
      <c r="N8" t="s">
        <v>31</v>
      </c>
      <c r="O8" t="s">
        <v>85</v>
      </c>
      <c r="P8" t="s">
        <v>33</v>
      </c>
      <c r="Q8" t="s">
        <v>32</v>
      </c>
      <c r="R8" s="1"/>
      <c r="S8" t="s">
        <v>86</v>
      </c>
      <c r="T8" t="s">
        <v>35</v>
      </c>
      <c r="U8" t="s">
        <v>29</v>
      </c>
      <c r="V8" s="1"/>
      <c r="W8" t="s">
        <v>36</v>
      </c>
      <c r="AB8" s="2">
        <f t="shared" si="0"/>
        <v>1</v>
      </c>
      <c r="AC8">
        <f t="shared" si="1"/>
        <v>0</v>
      </c>
      <c r="AD8">
        <f t="shared" si="2"/>
        <v>2</v>
      </c>
      <c r="AE8" t="str">
        <f t="shared" si="3"/>
        <v>OK</v>
      </c>
      <c r="AF8" t="str">
        <f t="shared" si="4"/>
        <v>OK</v>
      </c>
      <c r="AG8" t="str">
        <f t="shared" si="5"/>
        <v>OK</v>
      </c>
      <c r="AI8" t="str">
        <f t="shared" si="6"/>
        <v>ERROR</v>
      </c>
      <c r="AJ8" t="str">
        <f t="shared" si="7"/>
        <v>ERROR</v>
      </c>
      <c r="AK8" t="str">
        <f t="shared" si="8"/>
        <v>OK</v>
      </c>
      <c r="AL8" t="str">
        <f t="shared" si="9"/>
        <v>OK</v>
      </c>
      <c r="AM8" t="str">
        <f t="shared" si="10"/>
        <v>OK</v>
      </c>
      <c r="AN8" t="str">
        <f t="shared" si="11"/>
        <v>OK</v>
      </c>
      <c r="AO8" t="str">
        <f t="shared" si="12"/>
        <v>OK</v>
      </c>
      <c r="AP8" t="str">
        <f t="shared" si="13"/>
        <v>OK</v>
      </c>
      <c r="AQ8" t="str">
        <f t="shared" si="14"/>
        <v>OK</v>
      </c>
    </row>
    <row r="9" spans="1:43" x14ac:dyDescent="0.3">
      <c r="A9" t="s">
        <v>87</v>
      </c>
      <c r="B9" s="1">
        <v>45567</v>
      </c>
      <c r="C9" t="s">
        <v>88</v>
      </c>
      <c r="D9" t="s">
        <v>25</v>
      </c>
      <c r="E9" t="s">
        <v>89</v>
      </c>
      <c r="F9" t="s">
        <v>54</v>
      </c>
      <c r="G9" t="s">
        <v>90</v>
      </c>
      <c r="H9">
        <v>2299</v>
      </c>
      <c r="I9">
        <v>1</v>
      </c>
      <c r="J9">
        <v>2299</v>
      </c>
      <c r="K9" t="s">
        <v>29</v>
      </c>
      <c r="L9">
        <v>0</v>
      </c>
      <c r="M9" t="s">
        <v>30</v>
      </c>
      <c r="N9" t="s">
        <v>45</v>
      </c>
      <c r="O9" t="s">
        <v>91</v>
      </c>
      <c r="P9" t="s">
        <v>92</v>
      </c>
      <c r="Q9" t="s">
        <v>46</v>
      </c>
      <c r="R9" s="1">
        <v>45575</v>
      </c>
      <c r="S9" t="s">
        <v>34</v>
      </c>
      <c r="T9" t="s">
        <v>35</v>
      </c>
      <c r="U9" t="s">
        <v>29</v>
      </c>
      <c r="V9" s="1"/>
      <c r="W9" t="s">
        <v>36</v>
      </c>
      <c r="AB9" s="2">
        <f t="shared" si="0"/>
        <v>1</v>
      </c>
      <c r="AC9">
        <f t="shared" si="1"/>
        <v>0</v>
      </c>
      <c r="AD9">
        <f t="shared" si="2"/>
        <v>2</v>
      </c>
      <c r="AE9" t="str">
        <f t="shared" si="3"/>
        <v>OK</v>
      </c>
      <c r="AF9" t="str">
        <f t="shared" si="4"/>
        <v>OK</v>
      </c>
      <c r="AG9" t="str">
        <f t="shared" si="5"/>
        <v>OK</v>
      </c>
      <c r="AI9" t="str">
        <f t="shared" si="6"/>
        <v>ERROR</v>
      </c>
      <c r="AJ9" t="str">
        <f t="shared" si="7"/>
        <v>OK</v>
      </c>
      <c r="AK9" t="str">
        <f t="shared" si="8"/>
        <v>OK</v>
      </c>
      <c r="AL9" t="str">
        <f t="shared" si="9"/>
        <v>OK</v>
      </c>
      <c r="AM9" t="str">
        <f t="shared" si="10"/>
        <v>ERROR</v>
      </c>
      <c r="AN9" t="str">
        <f t="shared" si="11"/>
        <v>OK</v>
      </c>
      <c r="AO9" t="str">
        <f t="shared" si="12"/>
        <v>OK</v>
      </c>
      <c r="AP9" t="str">
        <f t="shared" si="13"/>
        <v>OK</v>
      </c>
      <c r="AQ9" t="str">
        <f t="shared" si="14"/>
        <v>OK</v>
      </c>
    </row>
    <row r="10" spans="1:43" x14ac:dyDescent="0.3">
      <c r="A10" t="s">
        <v>93</v>
      </c>
      <c r="B10" s="1">
        <v>45567</v>
      </c>
      <c r="C10" t="s">
        <v>94</v>
      </c>
      <c r="D10" t="s">
        <v>39</v>
      </c>
      <c r="E10" t="s">
        <v>95</v>
      </c>
      <c r="F10" t="s">
        <v>27</v>
      </c>
      <c r="G10" t="s">
        <v>96</v>
      </c>
      <c r="H10">
        <v>1399</v>
      </c>
      <c r="I10">
        <v>5</v>
      </c>
      <c r="J10">
        <v>6995</v>
      </c>
      <c r="K10" t="s">
        <v>29</v>
      </c>
      <c r="L10">
        <v>0</v>
      </c>
      <c r="M10" t="s">
        <v>44</v>
      </c>
      <c r="N10" t="s">
        <v>31</v>
      </c>
      <c r="O10" t="s">
        <v>97</v>
      </c>
      <c r="P10" t="s">
        <v>98</v>
      </c>
      <c r="Q10" t="s">
        <v>32</v>
      </c>
      <c r="R10" s="1">
        <v>45574</v>
      </c>
      <c r="S10" t="s">
        <v>34</v>
      </c>
      <c r="T10" t="s">
        <v>47</v>
      </c>
      <c r="U10" t="s">
        <v>48</v>
      </c>
      <c r="V10" s="1">
        <v>45587</v>
      </c>
      <c r="W10" t="s">
        <v>49</v>
      </c>
      <c r="AB10" s="2">
        <f t="shared" si="0"/>
        <v>1</v>
      </c>
      <c r="AC10">
        <f t="shared" si="1"/>
        <v>0</v>
      </c>
      <c r="AD10">
        <f t="shared" si="2"/>
        <v>2</v>
      </c>
      <c r="AE10" t="str">
        <f t="shared" si="3"/>
        <v>OK</v>
      </c>
      <c r="AF10" t="str">
        <f t="shared" si="4"/>
        <v>OK</v>
      </c>
      <c r="AG10" t="str">
        <f t="shared" si="5"/>
        <v>OK</v>
      </c>
      <c r="AI10" t="str">
        <f t="shared" si="6"/>
        <v>ERROR</v>
      </c>
      <c r="AJ10" t="str">
        <f t="shared" si="7"/>
        <v>OK</v>
      </c>
      <c r="AK10" t="str">
        <f t="shared" si="8"/>
        <v>OK</v>
      </c>
      <c r="AL10" t="str">
        <f t="shared" si="9"/>
        <v>OK</v>
      </c>
      <c r="AM10" t="str">
        <f t="shared" si="10"/>
        <v>OK</v>
      </c>
      <c r="AN10" t="str">
        <f t="shared" si="11"/>
        <v>OK</v>
      </c>
      <c r="AO10" t="str">
        <f t="shared" si="12"/>
        <v>OK</v>
      </c>
      <c r="AP10" t="str">
        <f t="shared" si="13"/>
        <v>OK</v>
      </c>
      <c r="AQ10" t="str">
        <f t="shared" si="14"/>
        <v>OK</v>
      </c>
    </row>
    <row r="11" spans="1:43" x14ac:dyDescent="0.3">
      <c r="A11" t="s">
        <v>99</v>
      </c>
      <c r="B11" s="1">
        <v>45567</v>
      </c>
      <c r="C11" t="s">
        <v>100</v>
      </c>
      <c r="D11" t="s">
        <v>25</v>
      </c>
      <c r="E11" t="s">
        <v>101</v>
      </c>
      <c r="F11" t="s">
        <v>62</v>
      </c>
      <c r="G11" t="s">
        <v>102</v>
      </c>
      <c r="H11">
        <v>4999</v>
      </c>
      <c r="I11">
        <v>-1</v>
      </c>
      <c r="J11">
        <v>4999</v>
      </c>
      <c r="K11" t="s">
        <v>29</v>
      </c>
      <c r="L11">
        <v>0</v>
      </c>
      <c r="M11" t="s">
        <v>65</v>
      </c>
      <c r="N11" t="s">
        <v>66</v>
      </c>
      <c r="O11" t="s">
        <v>103</v>
      </c>
      <c r="P11" t="s">
        <v>104</v>
      </c>
      <c r="Q11" t="s">
        <v>46</v>
      </c>
      <c r="R11" s="1">
        <v>45576</v>
      </c>
      <c r="S11" t="s">
        <v>34</v>
      </c>
      <c r="T11" t="s">
        <v>47</v>
      </c>
      <c r="U11" t="s">
        <v>105</v>
      </c>
      <c r="V11" s="1">
        <v>45590</v>
      </c>
      <c r="W11" t="s">
        <v>106</v>
      </c>
      <c r="AB11" s="2">
        <f t="shared" si="0"/>
        <v>1</v>
      </c>
      <c r="AC11">
        <f t="shared" si="1"/>
        <v>0</v>
      </c>
      <c r="AD11">
        <f t="shared" si="2"/>
        <v>2</v>
      </c>
      <c r="AE11" t="str">
        <f t="shared" si="3"/>
        <v>OK</v>
      </c>
      <c r="AF11" t="str">
        <f t="shared" si="4"/>
        <v>OK</v>
      </c>
      <c r="AG11" t="str">
        <f t="shared" si="5"/>
        <v>OK</v>
      </c>
      <c r="AI11" t="str">
        <f t="shared" si="6"/>
        <v>ERROR</v>
      </c>
      <c r="AJ11" t="str">
        <f t="shared" si="7"/>
        <v>OK</v>
      </c>
      <c r="AK11" t="str">
        <f t="shared" si="8"/>
        <v>OK</v>
      </c>
      <c r="AL11" t="str">
        <f t="shared" si="9"/>
        <v>OK</v>
      </c>
      <c r="AM11" t="str">
        <f t="shared" si="10"/>
        <v>OK</v>
      </c>
      <c r="AN11" t="str">
        <f t="shared" si="11"/>
        <v>ERROR</v>
      </c>
      <c r="AO11" t="str">
        <f t="shared" si="12"/>
        <v>OK</v>
      </c>
      <c r="AP11" t="str">
        <f t="shared" si="13"/>
        <v>OK</v>
      </c>
      <c r="AQ11" t="str">
        <f t="shared" si="14"/>
        <v>OK</v>
      </c>
    </row>
    <row r="12" spans="1:43" x14ac:dyDescent="0.3">
      <c r="A12" t="s">
        <v>107</v>
      </c>
      <c r="B12" s="1">
        <v>45568</v>
      </c>
      <c r="C12" t="s">
        <v>108</v>
      </c>
      <c r="D12" t="s">
        <v>25</v>
      </c>
      <c r="E12" t="s">
        <v>109</v>
      </c>
      <c r="F12" t="s">
        <v>72</v>
      </c>
      <c r="G12" t="s">
        <v>110</v>
      </c>
      <c r="H12">
        <v>1299</v>
      </c>
      <c r="I12">
        <v>2</v>
      </c>
      <c r="J12">
        <v>2598</v>
      </c>
      <c r="K12" t="s">
        <v>111</v>
      </c>
      <c r="L12">
        <v>10</v>
      </c>
      <c r="M12" t="s">
        <v>112</v>
      </c>
      <c r="N12" t="s">
        <v>31</v>
      </c>
      <c r="O12" t="s">
        <v>113</v>
      </c>
      <c r="P12" t="s">
        <v>114</v>
      </c>
      <c r="Q12" t="s">
        <v>46</v>
      </c>
      <c r="R12" s="1">
        <v>45575</v>
      </c>
      <c r="S12" t="s">
        <v>34</v>
      </c>
      <c r="T12" t="s">
        <v>35</v>
      </c>
      <c r="U12" t="s">
        <v>29</v>
      </c>
      <c r="V12" s="1"/>
      <c r="W12" t="s">
        <v>36</v>
      </c>
      <c r="AB12" s="2">
        <f t="shared" si="0"/>
        <v>1</v>
      </c>
      <c r="AC12">
        <f t="shared" si="1"/>
        <v>0</v>
      </c>
      <c r="AD12">
        <f t="shared" si="2"/>
        <v>2</v>
      </c>
      <c r="AE12" t="str">
        <f t="shared" si="3"/>
        <v>OK</v>
      </c>
      <c r="AF12" t="str">
        <f t="shared" si="4"/>
        <v>OK</v>
      </c>
      <c r="AG12" t="str">
        <f t="shared" si="5"/>
        <v>OK</v>
      </c>
      <c r="AI12" t="str">
        <f t="shared" si="6"/>
        <v>ERROR</v>
      </c>
      <c r="AJ12" t="str">
        <f t="shared" si="7"/>
        <v>OK</v>
      </c>
      <c r="AK12" t="str">
        <f t="shared" si="8"/>
        <v>OK</v>
      </c>
      <c r="AL12" t="str">
        <f t="shared" si="9"/>
        <v>OK</v>
      </c>
      <c r="AM12" t="str">
        <f t="shared" si="10"/>
        <v>ERROR</v>
      </c>
      <c r="AN12" t="str">
        <f t="shared" si="11"/>
        <v>OK</v>
      </c>
      <c r="AO12" t="str">
        <f t="shared" si="12"/>
        <v>OK</v>
      </c>
      <c r="AP12" t="str">
        <f t="shared" si="13"/>
        <v>OK</v>
      </c>
      <c r="AQ12" t="str">
        <f t="shared" si="14"/>
        <v>OK</v>
      </c>
    </row>
    <row r="13" spans="1:43" x14ac:dyDescent="0.3">
      <c r="A13" t="s">
        <v>115</v>
      </c>
      <c r="B13" s="1">
        <v>45568</v>
      </c>
      <c r="C13" t="s">
        <v>116</v>
      </c>
      <c r="D13" t="s">
        <v>25</v>
      </c>
      <c r="E13" t="s">
        <v>117</v>
      </c>
      <c r="F13" t="s">
        <v>41</v>
      </c>
      <c r="G13" t="s">
        <v>118</v>
      </c>
      <c r="H13">
        <v>3299</v>
      </c>
      <c r="I13">
        <v>1</v>
      </c>
      <c r="J13">
        <v>3299</v>
      </c>
      <c r="K13" t="s">
        <v>29</v>
      </c>
      <c r="L13">
        <v>0</v>
      </c>
      <c r="M13" t="s">
        <v>56</v>
      </c>
      <c r="N13" t="s">
        <v>45</v>
      </c>
      <c r="O13" t="s">
        <v>119</v>
      </c>
      <c r="P13" t="s">
        <v>120</v>
      </c>
      <c r="Q13" t="s">
        <v>46</v>
      </c>
      <c r="R13" s="1"/>
      <c r="S13" t="s">
        <v>121</v>
      </c>
      <c r="T13" t="s">
        <v>35</v>
      </c>
      <c r="U13" t="s">
        <v>29</v>
      </c>
      <c r="V13" s="1"/>
      <c r="W13" t="s">
        <v>36</v>
      </c>
      <c r="AB13" s="2">
        <f t="shared" si="0"/>
        <v>1</v>
      </c>
      <c r="AC13">
        <f t="shared" si="1"/>
        <v>0</v>
      </c>
      <c r="AD13">
        <f t="shared" si="2"/>
        <v>2</v>
      </c>
      <c r="AE13" t="str">
        <f t="shared" si="3"/>
        <v>OK</v>
      </c>
      <c r="AF13" t="str">
        <f t="shared" si="4"/>
        <v>OK</v>
      </c>
      <c r="AG13" t="str">
        <f t="shared" si="5"/>
        <v>OK</v>
      </c>
      <c r="AI13" t="str">
        <f t="shared" si="6"/>
        <v>ERROR</v>
      </c>
      <c r="AJ13" t="str">
        <f t="shared" si="7"/>
        <v>ERROR</v>
      </c>
      <c r="AK13" t="str">
        <f t="shared" si="8"/>
        <v>OK</v>
      </c>
      <c r="AL13" t="str">
        <f t="shared" si="9"/>
        <v>OK</v>
      </c>
      <c r="AM13" t="str">
        <f t="shared" si="10"/>
        <v>OK</v>
      </c>
      <c r="AN13" t="str">
        <f t="shared" si="11"/>
        <v>OK</v>
      </c>
      <c r="AO13" t="str">
        <f t="shared" si="12"/>
        <v>OK</v>
      </c>
      <c r="AP13" t="str">
        <f t="shared" si="13"/>
        <v>OK</v>
      </c>
      <c r="AQ13" t="str">
        <f t="shared" si="14"/>
        <v>OK</v>
      </c>
    </row>
    <row r="14" spans="1:43" x14ac:dyDescent="0.3">
      <c r="A14" t="s">
        <v>122</v>
      </c>
      <c r="B14" s="1">
        <v>45568</v>
      </c>
      <c r="C14" t="s">
        <v>123</v>
      </c>
      <c r="D14" t="s">
        <v>39</v>
      </c>
      <c r="E14" t="s">
        <v>124</v>
      </c>
      <c r="F14" t="s">
        <v>27</v>
      </c>
      <c r="G14" t="s">
        <v>125</v>
      </c>
      <c r="H14">
        <v>2499</v>
      </c>
      <c r="I14">
        <v>1</v>
      </c>
      <c r="J14">
        <v>2499</v>
      </c>
      <c r="K14" t="s">
        <v>29</v>
      </c>
      <c r="L14">
        <v>0</v>
      </c>
      <c r="M14" t="s">
        <v>44</v>
      </c>
      <c r="N14" t="s">
        <v>31</v>
      </c>
      <c r="O14" t="s">
        <v>32</v>
      </c>
      <c r="P14" t="s">
        <v>33</v>
      </c>
      <c r="Q14" t="s">
        <v>32</v>
      </c>
      <c r="R14" s="1">
        <v>45574</v>
      </c>
      <c r="S14" t="s">
        <v>34</v>
      </c>
      <c r="T14" t="s">
        <v>35</v>
      </c>
      <c r="U14" t="s">
        <v>29</v>
      </c>
      <c r="V14" s="1"/>
      <c r="W14" t="s">
        <v>36</v>
      </c>
      <c r="AB14" s="2">
        <f t="shared" si="0"/>
        <v>1</v>
      </c>
      <c r="AC14">
        <f t="shared" si="1"/>
        <v>0</v>
      </c>
      <c r="AD14">
        <f t="shared" si="2"/>
        <v>2</v>
      </c>
      <c r="AE14" t="str">
        <f t="shared" si="3"/>
        <v>OK</v>
      </c>
      <c r="AF14" t="str">
        <f t="shared" si="4"/>
        <v>OK</v>
      </c>
      <c r="AG14" t="str">
        <f t="shared" si="5"/>
        <v>OK</v>
      </c>
      <c r="AI14" t="str">
        <f t="shared" si="6"/>
        <v>ERROR</v>
      </c>
      <c r="AJ14" t="str">
        <f t="shared" si="7"/>
        <v>OK</v>
      </c>
      <c r="AK14" t="str">
        <f t="shared" si="8"/>
        <v>OK</v>
      </c>
      <c r="AL14" t="str">
        <f t="shared" si="9"/>
        <v>OK</v>
      </c>
      <c r="AM14" t="str">
        <f t="shared" si="10"/>
        <v>ERROR</v>
      </c>
      <c r="AN14" t="str">
        <f t="shared" si="11"/>
        <v>OK</v>
      </c>
      <c r="AO14" t="str">
        <f t="shared" si="12"/>
        <v>OK</v>
      </c>
      <c r="AP14" t="str">
        <f t="shared" si="13"/>
        <v>OK</v>
      </c>
      <c r="AQ14" t="str">
        <f t="shared" si="14"/>
        <v>OK</v>
      </c>
    </row>
    <row r="15" spans="1:43" x14ac:dyDescent="0.3">
      <c r="A15" t="s">
        <v>126</v>
      </c>
      <c r="B15" s="1">
        <v>45568</v>
      </c>
      <c r="C15" t="s">
        <v>127</v>
      </c>
      <c r="D15" t="s">
        <v>25</v>
      </c>
      <c r="E15" t="s">
        <v>128</v>
      </c>
      <c r="F15" t="s">
        <v>54</v>
      </c>
      <c r="G15" t="s">
        <v>129</v>
      </c>
      <c r="H15">
        <v>1799</v>
      </c>
      <c r="I15">
        <v>2</v>
      </c>
      <c r="J15">
        <v>3598</v>
      </c>
      <c r="K15" t="s">
        <v>43</v>
      </c>
      <c r="L15">
        <v>20</v>
      </c>
      <c r="M15" t="s">
        <v>30</v>
      </c>
      <c r="N15" t="s">
        <v>66</v>
      </c>
      <c r="O15" t="s">
        <v>46</v>
      </c>
      <c r="P15" t="s">
        <v>46</v>
      </c>
      <c r="Q15" t="s">
        <v>46</v>
      </c>
      <c r="R15" s="1">
        <v>45576</v>
      </c>
      <c r="S15" t="s">
        <v>34</v>
      </c>
      <c r="T15" t="s">
        <v>47</v>
      </c>
      <c r="U15" t="s">
        <v>48</v>
      </c>
      <c r="V15" s="1">
        <v>45593</v>
      </c>
      <c r="W15" t="s">
        <v>49</v>
      </c>
      <c r="AB15" s="2">
        <f t="shared" si="0"/>
        <v>1</v>
      </c>
      <c r="AC15">
        <f t="shared" si="1"/>
        <v>0</v>
      </c>
      <c r="AD15">
        <f t="shared" si="2"/>
        <v>2</v>
      </c>
      <c r="AE15" t="str">
        <f t="shared" si="3"/>
        <v>OK</v>
      </c>
      <c r="AF15" t="str">
        <f t="shared" si="4"/>
        <v>OK</v>
      </c>
      <c r="AG15" t="str">
        <f t="shared" si="5"/>
        <v>OK</v>
      </c>
      <c r="AI15" t="str">
        <f t="shared" si="6"/>
        <v>ERROR</v>
      </c>
      <c r="AJ15" t="str">
        <f t="shared" si="7"/>
        <v>OK</v>
      </c>
      <c r="AK15" t="str">
        <f t="shared" si="8"/>
        <v>OK</v>
      </c>
      <c r="AL15" t="str">
        <f t="shared" si="9"/>
        <v>OK</v>
      </c>
      <c r="AM15" t="str">
        <f t="shared" si="10"/>
        <v>OK</v>
      </c>
      <c r="AN15" t="str">
        <f t="shared" si="11"/>
        <v>OK</v>
      </c>
      <c r="AO15" t="str">
        <f t="shared" si="12"/>
        <v>OK</v>
      </c>
      <c r="AP15" t="str">
        <f t="shared" si="13"/>
        <v>OK</v>
      </c>
      <c r="AQ15" t="str">
        <f t="shared" si="14"/>
        <v>OK</v>
      </c>
    </row>
    <row r="16" spans="1:43" x14ac:dyDescent="0.3">
      <c r="A16" t="s">
        <v>130</v>
      </c>
      <c r="B16" s="1">
        <v>45568</v>
      </c>
      <c r="C16" t="s">
        <v>131</v>
      </c>
      <c r="D16" t="s">
        <v>25</v>
      </c>
      <c r="E16" t="s">
        <v>132</v>
      </c>
      <c r="F16" t="s">
        <v>62</v>
      </c>
      <c r="G16" t="s">
        <v>133</v>
      </c>
      <c r="H16">
        <v>2799</v>
      </c>
      <c r="I16">
        <v>1</v>
      </c>
      <c r="J16">
        <v>2799</v>
      </c>
      <c r="K16" t="s">
        <v>29</v>
      </c>
      <c r="L16">
        <v>0</v>
      </c>
      <c r="M16" t="s">
        <v>65</v>
      </c>
      <c r="N16" t="s">
        <v>45</v>
      </c>
      <c r="O16" t="s">
        <v>57</v>
      </c>
      <c r="P16" t="s">
        <v>58</v>
      </c>
      <c r="Q16" t="s">
        <v>57</v>
      </c>
      <c r="R16" s="1">
        <v>45577</v>
      </c>
      <c r="S16" t="s">
        <v>34</v>
      </c>
      <c r="T16" t="s">
        <v>35</v>
      </c>
      <c r="U16" t="s">
        <v>29</v>
      </c>
      <c r="V16" s="1"/>
      <c r="W16" t="s">
        <v>36</v>
      </c>
      <c r="AB16" s="2">
        <f t="shared" si="0"/>
        <v>1</v>
      </c>
      <c r="AC16">
        <f t="shared" si="1"/>
        <v>0</v>
      </c>
      <c r="AD16">
        <f t="shared" si="2"/>
        <v>2</v>
      </c>
      <c r="AE16" t="str">
        <f t="shared" si="3"/>
        <v>OK</v>
      </c>
      <c r="AF16" t="str">
        <f t="shared" si="4"/>
        <v>OK</v>
      </c>
      <c r="AG16" t="str">
        <f t="shared" si="5"/>
        <v>OK</v>
      </c>
      <c r="AI16" t="str">
        <f t="shared" si="6"/>
        <v>ERROR</v>
      </c>
      <c r="AJ16" t="str">
        <f t="shared" si="7"/>
        <v>OK</v>
      </c>
      <c r="AK16" t="str">
        <f t="shared" si="8"/>
        <v>OK</v>
      </c>
      <c r="AL16" t="str">
        <f t="shared" si="9"/>
        <v>OK</v>
      </c>
      <c r="AM16" t="str">
        <f t="shared" si="10"/>
        <v>ERROR</v>
      </c>
      <c r="AN16" t="str">
        <f t="shared" si="11"/>
        <v>OK</v>
      </c>
      <c r="AO16" t="str">
        <f t="shared" si="12"/>
        <v>OK</v>
      </c>
      <c r="AP16" t="str">
        <f t="shared" si="13"/>
        <v>OK</v>
      </c>
      <c r="AQ16" t="str">
        <f t="shared" si="14"/>
        <v>OK</v>
      </c>
    </row>
    <row r="17" spans="1:43" x14ac:dyDescent="0.3">
      <c r="A17" t="s">
        <v>134</v>
      </c>
      <c r="B17" s="1">
        <v>45569</v>
      </c>
      <c r="C17" t="s">
        <v>135</v>
      </c>
      <c r="D17" t="s">
        <v>39</v>
      </c>
      <c r="E17" t="s">
        <v>136</v>
      </c>
      <c r="F17" t="s">
        <v>72</v>
      </c>
      <c r="G17" t="s">
        <v>137</v>
      </c>
      <c r="H17">
        <v>599</v>
      </c>
      <c r="I17">
        <v>4</v>
      </c>
      <c r="J17">
        <v>2396</v>
      </c>
      <c r="K17" t="s">
        <v>29</v>
      </c>
      <c r="L17">
        <v>0</v>
      </c>
      <c r="M17" t="s">
        <v>56</v>
      </c>
      <c r="N17" t="s">
        <v>31</v>
      </c>
      <c r="O17" t="s">
        <v>138</v>
      </c>
      <c r="P17" t="s">
        <v>114</v>
      </c>
      <c r="Q17" t="s">
        <v>46</v>
      </c>
      <c r="R17" s="1">
        <v>45579</v>
      </c>
      <c r="S17" t="s">
        <v>34</v>
      </c>
      <c r="T17" t="s">
        <v>47</v>
      </c>
      <c r="U17" t="s">
        <v>139</v>
      </c>
      <c r="V17" s="1">
        <v>45591</v>
      </c>
      <c r="W17" t="s">
        <v>49</v>
      </c>
      <c r="AB17" s="2">
        <f t="shared" si="0"/>
        <v>1</v>
      </c>
      <c r="AC17">
        <f t="shared" si="1"/>
        <v>0</v>
      </c>
      <c r="AD17">
        <f t="shared" si="2"/>
        <v>2</v>
      </c>
      <c r="AE17" t="str">
        <f t="shared" si="3"/>
        <v>OK</v>
      </c>
      <c r="AF17" t="str">
        <f t="shared" si="4"/>
        <v>OK</v>
      </c>
      <c r="AG17" t="str">
        <f t="shared" si="5"/>
        <v>OK</v>
      </c>
      <c r="AI17" t="str">
        <f t="shared" si="6"/>
        <v>ERROR</v>
      </c>
      <c r="AJ17" t="str">
        <f t="shared" si="7"/>
        <v>OK</v>
      </c>
      <c r="AK17" t="str">
        <f t="shared" si="8"/>
        <v>OK</v>
      </c>
      <c r="AL17" t="str">
        <f t="shared" si="9"/>
        <v>OK</v>
      </c>
      <c r="AM17" t="str">
        <f t="shared" si="10"/>
        <v>OK</v>
      </c>
      <c r="AN17" t="str">
        <f t="shared" si="11"/>
        <v>OK</v>
      </c>
      <c r="AO17" t="str">
        <f t="shared" si="12"/>
        <v>OK</v>
      </c>
      <c r="AP17" t="str">
        <f t="shared" si="13"/>
        <v>OK</v>
      </c>
      <c r="AQ17" t="str">
        <f t="shared" si="14"/>
        <v>OK</v>
      </c>
    </row>
    <row r="18" spans="1:43" x14ac:dyDescent="0.3">
      <c r="A18" t="s">
        <v>140</v>
      </c>
      <c r="B18" s="1">
        <v>45569</v>
      </c>
      <c r="C18" t="s">
        <v>141</v>
      </c>
      <c r="D18" t="s">
        <v>25</v>
      </c>
      <c r="E18" t="s">
        <v>142</v>
      </c>
      <c r="F18" t="s">
        <v>27</v>
      </c>
      <c r="G18" t="s">
        <v>143</v>
      </c>
      <c r="H18">
        <v>999</v>
      </c>
      <c r="I18">
        <v>1</v>
      </c>
      <c r="J18">
        <v>999</v>
      </c>
      <c r="K18" t="s">
        <v>64</v>
      </c>
      <c r="L18">
        <v>15</v>
      </c>
      <c r="M18" t="s">
        <v>30</v>
      </c>
      <c r="N18" t="s">
        <v>45</v>
      </c>
      <c r="O18" t="s">
        <v>144</v>
      </c>
      <c r="P18" t="s">
        <v>145</v>
      </c>
      <c r="Q18" t="s">
        <v>46</v>
      </c>
      <c r="R18" s="1">
        <v>45577</v>
      </c>
      <c r="S18" t="s">
        <v>146</v>
      </c>
      <c r="T18" t="s">
        <v>35</v>
      </c>
      <c r="U18" t="s">
        <v>29</v>
      </c>
      <c r="V18" s="1"/>
      <c r="W18" t="s">
        <v>36</v>
      </c>
      <c r="AB18" s="2">
        <f t="shared" si="0"/>
        <v>1</v>
      </c>
      <c r="AC18">
        <f t="shared" si="1"/>
        <v>0</v>
      </c>
      <c r="AD18">
        <f t="shared" si="2"/>
        <v>2</v>
      </c>
      <c r="AE18" t="str">
        <f t="shared" si="3"/>
        <v>OK</v>
      </c>
      <c r="AF18" t="str">
        <f t="shared" si="4"/>
        <v>OK</v>
      </c>
      <c r="AG18" t="str">
        <f t="shared" si="5"/>
        <v>OK</v>
      </c>
      <c r="AI18" t="str">
        <f t="shared" si="6"/>
        <v>ERROR</v>
      </c>
      <c r="AJ18" t="str">
        <f t="shared" si="7"/>
        <v>OK</v>
      </c>
      <c r="AK18" t="str">
        <f t="shared" si="8"/>
        <v>OK</v>
      </c>
      <c r="AL18" t="str">
        <f t="shared" si="9"/>
        <v>OK</v>
      </c>
      <c r="AM18" t="str">
        <f t="shared" si="10"/>
        <v>ERROR</v>
      </c>
      <c r="AN18" t="str">
        <f t="shared" si="11"/>
        <v>OK</v>
      </c>
      <c r="AO18" t="str">
        <f t="shared" si="12"/>
        <v>OK</v>
      </c>
      <c r="AP18" t="str">
        <f t="shared" si="13"/>
        <v>OK</v>
      </c>
      <c r="AQ18" t="str">
        <f t="shared" si="14"/>
        <v>ERROR</v>
      </c>
    </row>
    <row r="19" spans="1:43" x14ac:dyDescent="0.3">
      <c r="A19" t="s">
        <v>147</v>
      </c>
      <c r="B19" s="1">
        <v>45569</v>
      </c>
      <c r="C19" t="s">
        <v>148</v>
      </c>
      <c r="D19" t="s">
        <v>25</v>
      </c>
      <c r="E19" t="s">
        <v>149</v>
      </c>
      <c r="F19" t="s">
        <v>41</v>
      </c>
      <c r="G19" t="s">
        <v>150</v>
      </c>
      <c r="H19">
        <v>2899</v>
      </c>
      <c r="I19">
        <v>1</v>
      </c>
      <c r="J19">
        <v>2899</v>
      </c>
      <c r="K19" t="s">
        <v>29</v>
      </c>
      <c r="L19">
        <v>0</v>
      </c>
      <c r="M19" t="s">
        <v>44</v>
      </c>
      <c r="N19" t="s">
        <v>31</v>
      </c>
      <c r="O19" t="s">
        <v>151</v>
      </c>
      <c r="P19" t="s">
        <v>152</v>
      </c>
      <c r="Q19" t="s">
        <v>32</v>
      </c>
      <c r="R19" s="1">
        <v>45579</v>
      </c>
      <c r="S19" t="s">
        <v>34</v>
      </c>
      <c r="T19" t="s">
        <v>35</v>
      </c>
      <c r="U19" t="s">
        <v>29</v>
      </c>
      <c r="V19" s="1"/>
      <c r="W19" t="s">
        <v>36</v>
      </c>
      <c r="AB19" s="2">
        <f t="shared" si="0"/>
        <v>1</v>
      </c>
      <c r="AC19">
        <f t="shared" si="1"/>
        <v>0</v>
      </c>
      <c r="AD19">
        <f t="shared" si="2"/>
        <v>2</v>
      </c>
      <c r="AE19" t="str">
        <f t="shared" si="3"/>
        <v>OK</v>
      </c>
      <c r="AF19" t="str">
        <f t="shared" si="4"/>
        <v>OK</v>
      </c>
      <c r="AG19" t="str">
        <f t="shared" si="5"/>
        <v>OK</v>
      </c>
      <c r="AI19" t="str">
        <f t="shared" si="6"/>
        <v>ERROR</v>
      </c>
      <c r="AJ19" t="str">
        <f t="shared" si="7"/>
        <v>OK</v>
      </c>
      <c r="AK19" t="str">
        <f t="shared" si="8"/>
        <v>OK</v>
      </c>
      <c r="AL19" t="str">
        <f t="shared" si="9"/>
        <v>OK</v>
      </c>
      <c r="AM19" t="str">
        <f t="shared" si="10"/>
        <v>ERROR</v>
      </c>
      <c r="AN19" t="str">
        <f t="shared" si="11"/>
        <v>OK</v>
      </c>
      <c r="AO19" t="str">
        <f t="shared" si="12"/>
        <v>OK</v>
      </c>
      <c r="AP19" t="str">
        <f t="shared" si="13"/>
        <v>OK</v>
      </c>
      <c r="AQ19" t="str">
        <f t="shared" si="14"/>
        <v>OK</v>
      </c>
    </row>
    <row r="20" spans="1:43" x14ac:dyDescent="0.3">
      <c r="A20" t="s">
        <v>153</v>
      </c>
      <c r="B20" s="1">
        <v>45569</v>
      </c>
      <c r="C20" t="s">
        <v>154</v>
      </c>
      <c r="D20" t="s">
        <v>39</v>
      </c>
      <c r="E20" t="s">
        <v>155</v>
      </c>
      <c r="F20" t="s">
        <v>54</v>
      </c>
      <c r="G20" t="s">
        <v>156</v>
      </c>
      <c r="H20">
        <v>1499</v>
      </c>
      <c r="I20">
        <v>2</v>
      </c>
      <c r="J20">
        <v>2998</v>
      </c>
      <c r="K20" t="s">
        <v>29</v>
      </c>
      <c r="L20">
        <v>0</v>
      </c>
      <c r="M20" t="s">
        <v>112</v>
      </c>
      <c r="N20" t="s">
        <v>66</v>
      </c>
      <c r="O20" t="s">
        <v>157</v>
      </c>
      <c r="P20" t="s">
        <v>98</v>
      </c>
      <c r="Q20" t="s">
        <v>32</v>
      </c>
      <c r="R20" s="1">
        <v>45578</v>
      </c>
      <c r="S20" t="s">
        <v>34</v>
      </c>
      <c r="T20" t="s">
        <v>47</v>
      </c>
      <c r="U20" t="s">
        <v>48</v>
      </c>
      <c r="V20" s="1">
        <v>45595</v>
      </c>
      <c r="W20" t="s">
        <v>49</v>
      </c>
      <c r="AB20" s="2">
        <f t="shared" si="0"/>
        <v>1</v>
      </c>
      <c r="AC20">
        <f t="shared" si="1"/>
        <v>0</v>
      </c>
      <c r="AD20">
        <f t="shared" si="2"/>
        <v>2</v>
      </c>
      <c r="AE20" t="str">
        <f t="shared" si="3"/>
        <v>OK</v>
      </c>
      <c r="AF20" t="str">
        <f t="shared" si="4"/>
        <v>OK</v>
      </c>
      <c r="AG20" t="str">
        <f t="shared" si="5"/>
        <v>OK</v>
      </c>
      <c r="AI20" t="str">
        <f t="shared" si="6"/>
        <v>ERROR</v>
      </c>
      <c r="AJ20" t="str">
        <f t="shared" si="7"/>
        <v>OK</v>
      </c>
      <c r="AK20" t="str">
        <f t="shared" si="8"/>
        <v>OK</v>
      </c>
      <c r="AL20" t="str">
        <f t="shared" si="9"/>
        <v>OK</v>
      </c>
      <c r="AM20" t="str">
        <f t="shared" si="10"/>
        <v>OK</v>
      </c>
      <c r="AN20" t="str">
        <f t="shared" si="11"/>
        <v>OK</v>
      </c>
      <c r="AO20" t="str">
        <f t="shared" si="12"/>
        <v>OK</v>
      </c>
      <c r="AP20" t="str">
        <f t="shared" si="13"/>
        <v>OK</v>
      </c>
      <c r="AQ20" t="str">
        <f t="shared" si="14"/>
        <v>OK</v>
      </c>
    </row>
    <row r="21" spans="1:43" x14ac:dyDescent="0.3">
      <c r="A21" t="s">
        <v>158</v>
      </c>
      <c r="B21" s="1">
        <v>45570</v>
      </c>
      <c r="C21" t="s">
        <v>159</v>
      </c>
      <c r="D21" t="s">
        <v>25</v>
      </c>
      <c r="E21" t="s">
        <v>160</v>
      </c>
      <c r="F21" t="s">
        <v>62</v>
      </c>
      <c r="G21" t="s">
        <v>161</v>
      </c>
      <c r="H21">
        <v>3999</v>
      </c>
      <c r="I21">
        <v>1</v>
      </c>
      <c r="J21">
        <v>3999</v>
      </c>
      <c r="K21" t="s">
        <v>43</v>
      </c>
      <c r="L21">
        <v>20</v>
      </c>
      <c r="M21" t="s">
        <v>56</v>
      </c>
      <c r="N21" t="s">
        <v>31</v>
      </c>
      <c r="O21" t="s">
        <v>162</v>
      </c>
      <c r="P21" t="s">
        <v>163</v>
      </c>
      <c r="Q21" t="s">
        <v>46</v>
      </c>
      <c r="R21" s="1"/>
      <c r="S21" t="s">
        <v>121</v>
      </c>
      <c r="T21" t="s">
        <v>35</v>
      </c>
      <c r="U21" t="s">
        <v>29</v>
      </c>
      <c r="V21" s="1"/>
      <c r="W21" t="s">
        <v>36</v>
      </c>
      <c r="AB21" s="2">
        <f t="shared" si="0"/>
        <v>1</v>
      </c>
      <c r="AC21">
        <f>LEN(S21)-LEN(TRIM(S21))</f>
        <v>0</v>
      </c>
      <c r="AD21">
        <f t="shared" si="2"/>
        <v>2</v>
      </c>
      <c r="AE21" t="str">
        <f t="shared" si="3"/>
        <v>OK</v>
      </c>
      <c r="AF21" t="str">
        <f t="shared" si="4"/>
        <v>OK</v>
      </c>
      <c r="AG21" t="str">
        <f t="shared" si="5"/>
        <v>OK</v>
      </c>
      <c r="AI21" t="str">
        <f t="shared" si="6"/>
        <v>ERROR</v>
      </c>
      <c r="AJ21" t="str">
        <f t="shared" si="7"/>
        <v>ERROR</v>
      </c>
      <c r="AK21" t="str">
        <f t="shared" si="8"/>
        <v>OK</v>
      </c>
      <c r="AL21" t="str">
        <f t="shared" si="9"/>
        <v>OK</v>
      </c>
      <c r="AM21" t="str">
        <f t="shared" si="10"/>
        <v>OK</v>
      </c>
      <c r="AN21" t="str">
        <f t="shared" si="11"/>
        <v>OK</v>
      </c>
      <c r="AO21" t="str">
        <f t="shared" si="12"/>
        <v>OK</v>
      </c>
      <c r="AP21" t="str">
        <f t="shared" si="13"/>
        <v>OK</v>
      </c>
      <c r="AQ21" t="str">
        <f t="shared" si="14"/>
        <v>OK</v>
      </c>
    </row>
    <row r="22" spans="1:43" x14ac:dyDescent="0.3">
      <c r="A22" t="s">
        <v>164</v>
      </c>
      <c r="B22" s="1">
        <v>45570</v>
      </c>
      <c r="C22" t="s">
        <v>165</v>
      </c>
      <c r="D22" t="s">
        <v>25</v>
      </c>
      <c r="E22" t="s">
        <v>166</v>
      </c>
      <c r="F22" t="s">
        <v>27</v>
      </c>
      <c r="G22" t="s">
        <v>167</v>
      </c>
      <c r="H22">
        <v>1699</v>
      </c>
      <c r="I22">
        <v>1</v>
      </c>
      <c r="J22">
        <v>1699</v>
      </c>
      <c r="K22" t="s">
        <v>29</v>
      </c>
      <c r="L22">
        <v>0</v>
      </c>
      <c r="M22" t="s">
        <v>30</v>
      </c>
      <c r="N22" t="s">
        <v>45</v>
      </c>
      <c r="O22" t="s">
        <v>168</v>
      </c>
      <c r="P22" t="s">
        <v>152</v>
      </c>
      <c r="Q22" t="s">
        <v>32</v>
      </c>
      <c r="R22" s="1">
        <v>45580</v>
      </c>
      <c r="S22" t="s">
        <v>34</v>
      </c>
      <c r="T22" t="s">
        <v>35</v>
      </c>
      <c r="U22" t="s">
        <v>29</v>
      </c>
      <c r="V22" s="1"/>
      <c r="W22" t="s">
        <v>36</v>
      </c>
      <c r="AB22" s="2">
        <f t="shared" si="0"/>
        <v>1</v>
      </c>
      <c r="AC22">
        <f t="shared" si="1"/>
        <v>0</v>
      </c>
      <c r="AD22">
        <f t="shared" si="2"/>
        <v>2</v>
      </c>
      <c r="AE22" t="str">
        <f t="shared" si="3"/>
        <v>OK</v>
      </c>
      <c r="AF22" t="str">
        <f t="shared" si="4"/>
        <v>OK</v>
      </c>
      <c r="AG22" t="str">
        <f t="shared" si="5"/>
        <v>OK</v>
      </c>
      <c r="AI22" t="str">
        <f t="shared" si="6"/>
        <v>ERROR</v>
      </c>
      <c r="AJ22" t="str">
        <f t="shared" si="7"/>
        <v>OK</v>
      </c>
      <c r="AK22" t="str">
        <f t="shared" si="8"/>
        <v>OK</v>
      </c>
      <c r="AL22" t="str">
        <f t="shared" si="9"/>
        <v>OK</v>
      </c>
      <c r="AM22" t="str">
        <f t="shared" si="10"/>
        <v>ERROR</v>
      </c>
      <c r="AN22" t="str">
        <f t="shared" si="11"/>
        <v>OK</v>
      </c>
      <c r="AO22" t="str">
        <f t="shared" si="12"/>
        <v>OK</v>
      </c>
      <c r="AP22" t="str">
        <f t="shared" si="13"/>
        <v>OK</v>
      </c>
      <c r="AQ22" t="str">
        <f t="shared" si="14"/>
        <v>OK</v>
      </c>
    </row>
    <row r="23" spans="1:43" x14ac:dyDescent="0.3">
      <c r="A23" t="s">
        <v>169</v>
      </c>
      <c r="B23" s="1">
        <v>45570</v>
      </c>
      <c r="C23" t="s">
        <v>170</v>
      </c>
      <c r="D23" t="s">
        <v>39</v>
      </c>
      <c r="E23" t="s">
        <v>171</v>
      </c>
      <c r="F23" t="s">
        <v>41</v>
      </c>
      <c r="G23" t="s">
        <v>172</v>
      </c>
      <c r="H23">
        <v>2399</v>
      </c>
      <c r="I23">
        <v>1</v>
      </c>
      <c r="J23">
        <v>2399</v>
      </c>
      <c r="K23" t="s">
        <v>29</v>
      </c>
      <c r="L23">
        <v>0</v>
      </c>
      <c r="M23" t="s">
        <v>44</v>
      </c>
      <c r="N23" t="s">
        <v>31</v>
      </c>
      <c r="O23" t="s">
        <v>173</v>
      </c>
      <c r="P23" t="s">
        <v>33</v>
      </c>
      <c r="Q23" t="s">
        <v>32</v>
      </c>
      <c r="R23" s="1">
        <v>45581</v>
      </c>
      <c r="S23" t="s">
        <v>34</v>
      </c>
      <c r="T23" t="s">
        <v>47</v>
      </c>
      <c r="U23" t="s">
        <v>69</v>
      </c>
      <c r="V23" s="1">
        <v>45598</v>
      </c>
      <c r="W23" t="s">
        <v>49</v>
      </c>
      <c r="AB23" s="2">
        <f t="shared" si="0"/>
        <v>1</v>
      </c>
      <c r="AC23">
        <f t="shared" si="1"/>
        <v>0</v>
      </c>
      <c r="AD23">
        <f t="shared" si="2"/>
        <v>2</v>
      </c>
      <c r="AE23" t="str">
        <f t="shared" si="3"/>
        <v>OK</v>
      </c>
      <c r="AF23" t="str">
        <f t="shared" si="4"/>
        <v>OK</v>
      </c>
      <c r="AG23" t="str">
        <f t="shared" si="5"/>
        <v>OK</v>
      </c>
      <c r="AI23" t="str">
        <f t="shared" si="6"/>
        <v>ERROR</v>
      </c>
      <c r="AJ23" t="str">
        <f t="shared" si="7"/>
        <v>OK</v>
      </c>
      <c r="AK23" t="str">
        <f t="shared" si="8"/>
        <v>OK</v>
      </c>
      <c r="AL23" t="str">
        <f t="shared" si="9"/>
        <v>OK</v>
      </c>
      <c r="AM23" t="str">
        <f t="shared" si="10"/>
        <v>OK</v>
      </c>
      <c r="AN23" t="str">
        <f t="shared" si="11"/>
        <v>OK</v>
      </c>
      <c r="AO23" t="str">
        <f t="shared" si="12"/>
        <v>OK</v>
      </c>
      <c r="AP23" t="str">
        <f t="shared" si="13"/>
        <v>OK</v>
      </c>
      <c r="AQ23" t="str">
        <f t="shared" si="14"/>
        <v>OK</v>
      </c>
    </row>
    <row r="24" spans="1:43" x14ac:dyDescent="0.3">
      <c r="A24" t="s">
        <v>174</v>
      </c>
      <c r="B24" s="1">
        <v>45570</v>
      </c>
      <c r="C24" t="s">
        <v>175</v>
      </c>
      <c r="D24" t="s">
        <v>25</v>
      </c>
      <c r="E24" t="s">
        <v>176</v>
      </c>
      <c r="F24" t="s">
        <v>72</v>
      </c>
      <c r="G24" t="s">
        <v>177</v>
      </c>
      <c r="H24">
        <v>899</v>
      </c>
      <c r="I24">
        <v>1</v>
      </c>
      <c r="J24">
        <v>899</v>
      </c>
      <c r="K24" t="s">
        <v>111</v>
      </c>
      <c r="L24">
        <v>10</v>
      </c>
      <c r="M24" t="s">
        <v>65</v>
      </c>
      <c r="N24" t="s">
        <v>45</v>
      </c>
      <c r="O24" t="s">
        <v>178</v>
      </c>
      <c r="P24" t="s">
        <v>68</v>
      </c>
      <c r="Q24" t="s">
        <v>57</v>
      </c>
      <c r="R24" s="1">
        <v>45582</v>
      </c>
      <c r="S24" t="s">
        <v>34</v>
      </c>
      <c r="T24" t="s">
        <v>35</v>
      </c>
      <c r="U24" t="s">
        <v>29</v>
      </c>
      <c r="V24" s="1"/>
      <c r="W24" t="s">
        <v>36</v>
      </c>
      <c r="AB24" s="2">
        <f t="shared" si="0"/>
        <v>1</v>
      </c>
      <c r="AC24">
        <f t="shared" si="1"/>
        <v>0</v>
      </c>
      <c r="AD24">
        <f t="shared" si="2"/>
        <v>2</v>
      </c>
      <c r="AE24" t="str">
        <f t="shared" si="3"/>
        <v>OK</v>
      </c>
      <c r="AF24" t="str">
        <f t="shared" si="4"/>
        <v>OK</v>
      </c>
      <c r="AG24" t="str">
        <f t="shared" si="5"/>
        <v>OK</v>
      </c>
      <c r="AI24" t="str">
        <f t="shared" si="6"/>
        <v>ERROR</v>
      </c>
      <c r="AJ24" t="str">
        <f t="shared" si="7"/>
        <v>OK</v>
      </c>
      <c r="AK24" t="str">
        <f t="shared" si="8"/>
        <v>OK</v>
      </c>
      <c r="AL24" t="str">
        <f t="shared" si="9"/>
        <v>OK</v>
      </c>
      <c r="AM24" t="str">
        <f t="shared" si="10"/>
        <v>ERROR</v>
      </c>
      <c r="AN24" t="str">
        <f t="shared" si="11"/>
        <v>OK</v>
      </c>
      <c r="AO24" t="str">
        <f t="shared" si="12"/>
        <v>OK</v>
      </c>
      <c r="AP24" t="str">
        <f t="shared" si="13"/>
        <v>OK</v>
      </c>
      <c r="AQ24" t="str">
        <f t="shared" si="14"/>
        <v>OK</v>
      </c>
    </row>
    <row r="25" spans="1:43" x14ac:dyDescent="0.3">
      <c r="A25" t="s">
        <v>179</v>
      </c>
      <c r="B25" s="1">
        <v>45571</v>
      </c>
      <c r="C25" t="s">
        <v>180</v>
      </c>
      <c r="D25" t="s">
        <v>25</v>
      </c>
      <c r="E25" t="s">
        <v>181</v>
      </c>
      <c r="F25" t="s">
        <v>54</v>
      </c>
      <c r="G25" t="s">
        <v>182</v>
      </c>
      <c r="H25">
        <v>1199</v>
      </c>
      <c r="I25">
        <v>3</v>
      </c>
      <c r="J25">
        <v>3597</v>
      </c>
      <c r="K25" t="s">
        <v>29</v>
      </c>
      <c r="L25">
        <v>0</v>
      </c>
      <c r="M25" t="s">
        <v>56</v>
      </c>
      <c r="N25" t="s">
        <v>66</v>
      </c>
      <c r="O25" t="s">
        <v>183</v>
      </c>
      <c r="P25" t="s">
        <v>184</v>
      </c>
      <c r="Q25" t="s">
        <v>57</v>
      </c>
      <c r="R25" s="1">
        <v>45583</v>
      </c>
      <c r="S25" t="s">
        <v>34</v>
      </c>
      <c r="T25" t="s">
        <v>47</v>
      </c>
      <c r="U25" t="s">
        <v>80</v>
      </c>
      <c r="V25" s="1">
        <v>45601</v>
      </c>
      <c r="W25" t="s">
        <v>49</v>
      </c>
      <c r="AB25" s="2">
        <f t="shared" si="0"/>
        <v>1</v>
      </c>
      <c r="AC25">
        <f t="shared" si="1"/>
        <v>0</v>
      </c>
      <c r="AD25">
        <f t="shared" si="2"/>
        <v>2</v>
      </c>
      <c r="AE25" t="str">
        <f t="shared" si="3"/>
        <v>OK</v>
      </c>
      <c r="AF25" t="str">
        <f t="shared" si="4"/>
        <v>OK</v>
      </c>
      <c r="AG25" t="str">
        <f t="shared" si="5"/>
        <v>OK</v>
      </c>
      <c r="AI25" t="str">
        <f t="shared" si="6"/>
        <v>ERROR</v>
      </c>
      <c r="AJ25" t="str">
        <f t="shared" si="7"/>
        <v>OK</v>
      </c>
      <c r="AK25" t="str">
        <f t="shared" si="8"/>
        <v>OK</v>
      </c>
      <c r="AL25" t="str">
        <f t="shared" si="9"/>
        <v>OK</v>
      </c>
      <c r="AM25" t="str">
        <f t="shared" si="10"/>
        <v>OK</v>
      </c>
      <c r="AN25" t="str">
        <f t="shared" si="11"/>
        <v>OK</v>
      </c>
      <c r="AO25" t="str">
        <f t="shared" si="12"/>
        <v>OK</v>
      </c>
      <c r="AP25" t="str">
        <f t="shared" si="13"/>
        <v>OK</v>
      </c>
      <c r="AQ25" t="str">
        <f t="shared" si="14"/>
        <v>OK</v>
      </c>
    </row>
    <row r="26" spans="1:43" x14ac:dyDescent="0.3">
      <c r="A26" t="s">
        <v>185</v>
      </c>
      <c r="B26" s="1">
        <v>45571</v>
      </c>
      <c r="C26" t="s">
        <v>186</v>
      </c>
      <c r="D26" t="s">
        <v>25</v>
      </c>
      <c r="E26" t="s">
        <v>187</v>
      </c>
      <c r="F26" t="s">
        <v>27</v>
      </c>
      <c r="G26" t="s">
        <v>188</v>
      </c>
      <c r="H26">
        <v>1799</v>
      </c>
      <c r="I26">
        <v>2</v>
      </c>
      <c r="J26">
        <v>3598</v>
      </c>
      <c r="K26" t="s">
        <v>29</v>
      </c>
      <c r="L26">
        <v>0</v>
      </c>
      <c r="M26" t="s">
        <v>30</v>
      </c>
      <c r="N26" t="s">
        <v>31</v>
      </c>
      <c r="O26" t="s">
        <v>189</v>
      </c>
      <c r="P26" t="s">
        <v>190</v>
      </c>
      <c r="Q26" t="s">
        <v>57</v>
      </c>
      <c r="R26" s="1">
        <v>45582</v>
      </c>
      <c r="S26" t="s">
        <v>34</v>
      </c>
      <c r="T26" t="s">
        <v>35</v>
      </c>
      <c r="U26" t="s">
        <v>29</v>
      </c>
      <c r="V26" s="1"/>
      <c r="W26" t="s">
        <v>36</v>
      </c>
      <c r="AB26" s="2">
        <f t="shared" si="0"/>
        <v>1</v>
      </c>
      <c r="AC26">
        <f t="shared" si="1"/>
        <v>0</v>
      </c>
      <c r="AD26">
        <f t="shared" si="2"/>
        <v>2</v>
      </c>
      <c r="AE26" t="str">
        <f t="shared" si="3"/>
        <v>OK</v>
      </c>
      <c r="AF26" t="str">
        <f t="shared" si="4"/>
        <v>OK</v>
      </c>
      <c r="AG26" t="str">
        <f t="shared" si="5"/>
        <v>OK</v>
      </c>
      <c r="AI26" t="str">
        <f t="shared" si="6"/>
        <v>ERROR</v>
      </c>
      <c r="AJ26" t="str">
        <f t="shared" si="7"/>
        <v>OK</v>
      </c>
      <c r="AK26" t="str">
        <f t="shared" si="8"/>
        <v>OK</v>
      </c>
      <c r="AL26" t="str">
        <f t="shared" si="9"/>
        <v>OK</v>
      </c>
      <c r="AM26" t="str">
        <f t="shared" si="10"/>
        <v>ERROR</v>
      </c>
      <c r="AN26" t="str">
        <f t="shared" si="11"/>
        <v>OK</v>
      </c>
      <c r="AO26" t="str">
        <f t="shared" si="12"/>
        <v>OK</v>
      </c>
      <c r="AP26" t="str">
        <f t="shared" si="13"/>
        <v>OK</v>
      </c>
      <c r="AQ26" t="str">
        <f t="shared" si="14"/>
        <v>OK</v>
      </c>
    </row>
    <row r="27" spans="1:43" x14ac:dyDescent="0.3">
      <c r="A27" t="s">
        <v>191</v>
      </c>
      <c r="B27" s="1">
        <v>45571</v>
      </c>
      <c r="C27" t="s">
        <v>192</v>
      </c>
      <c r="D27" t="s">
        <v>25</v>
      </c>
      <c r="E27" t="s">
        <v>193</v>
      </c>
      <c r="F27" t="s">
        <v>41</v>
      </c>
      <c r="G27" t="s">
        <v>194</v>
      </c>
      <c r="H27">
        <v>2699</v>
      </c>
      <c r="I27">
        <v>1</v>
      </c>
      <c r="J27">
        <v>2699</v>
      </c>
      <c r="K27" t="s">
        <v>29</v>
      </c>
      <c r="L27">
        <v>0</v>
      </c>
      <c r="M27" t="s">
        <v>44</v>
      </c>
      <c r="N27" t="s">
        <v>45</v>
      </c>
      <c r="O27" t="s">
        <v>195</v>
      </c>
      <c r="P27" t="s">
        <v>184</v>
      </c>
      <c r="Q27" t="s">
        <v>57</v>
      </c>
      <c r="R27" s="1">
        <v>45583</v>
      </c>
      <c r="S27" t="s">
        <v>34</v>
      </c>
      <c r="T27" t="s">
        <v>35</v>
      </c>
      <c r="U27" t="s">
        <v>29</v>
      </c>
      <c r="V27" s="1"/>
      <c r="W27" t="s">
        <v>36</v>
      </c>
      <c r="AB27" s="2">
        <f t="shared" si="0"/>
        <v>1</v>
      </c>
      <c r="AC27">
        <f t="shared" si="1"/>
        <v>0</v>
      </c>
      <c r="AD27">
        <f t="shared" si="2"/>
        <v>2</v>
      </c>
      <c r="AE27" t="str">
        <f t="shared" si="3"/>
        <v>OK</v>
      </c>
      <c r="AF27" t="str">
        <f t="shared" si="4"/>
        <v>OK</v>
      </c>
      <c r="AG27" t="str">
        <f t="shared" si="5"/>
        <v>OK</v>
      </c>
      <c r="AI27" t="str">
        <f t="shared" si="6"/>
        <v>ERROR</v>
      </c>
      <c r="AJ27" t="str">
        <f t="shared" si="7"/>
        <v>OK</v>
      </c>
      <c r="AK27" t="str">
        <f t="shared" si="8"/>
        <v>OK</v>
      </c>
      <c r="AL27" t="str">
        <f t="shared" si="9"/>
        <v>OK</v>
      </c>
      <c r="AM27" t="str">
        <f t="shared" si="10"/>
        <v>ERROR</v>
      </c>
      <c r="AN27" t="str">
        <f t="shared" si="11"/>
        <v>OK</v>
      </c>
      <c r="AO27" t="str">
        <f t="shared" si="12"/>
        <v>OK</v>
      </c>
      <c r="AP27" t="str">
        <f t="shared" si="13"/>
        <v>OK</v>
      </c>
      <c r="AQ27" t="str">
        <f t="shared" si="14"/>
        <v>OK</v>
      </c>
    </row>
    <row r="28" spans="1:43" x14ac:dyDescent="0.3">
      <c r="A28" t="s">
        <v>196</v>
      </c>
      <c r="B28" s="1">
        <v>45571</v>
      </c>
      <c r="C28" t="s">
        <v>197</v>
      </c>
      <c r="D28" t="s">
        <v>39</v>
      </c>
      <c r="E28" t="s">
        <v>198</v>
      </c>
      <c r="F28" t="s">
        <v>62</v>
      </c>
      <c r="G28" t="s">
        <v>199</v>
      </c>
      <c r="H28">
        <v>4599</v>
      </c>
      <c r="I28">
        <v>1</v>
      </c>
      <c r="J28">
        <v>4599</v>
      </c>
      <c r="K28" t="s">
        <v>111</v>
      </c>
      <c r="L28">
        <v>10</v>
      </c>
      <c r="M28" t="s">
        <v>65</v>
      </c>
      <c r="N28" t="s">
        <v>31</v>
      </c>
      <c r="O28" t="s">
        <v>200</v>
      </c>
      <c r="P28" t="s">
        <v>58</v>
      </c>
      <c r="Q28" t="s">
        <v>57</v>
      </c>
      <c r="R28" s="1">
        <v>45584</v>
      </c>
      <c r="S28" t="s">
        <v>34</v>
      </c>
      <c r="T28" t="s">
        <v>47</v>
      </c>
      <c r="U28" t="s">
        <v>48</v>
      </c>
      <c r="V28" s="1">
        <v>45604</v>
      </c>
      <c r="W28" t="s">
        <v>49</v>
      </c>
      <c r="AB28" s="2">
        <f t="shared" si="0"/>
        <v>1</v>
      </c>
      <c r="AC28">
        <f t="shared" si="1"/>
        <v>0</v>
      </c>
      <c r="AD28">
        <f t="shared" si="2"/>
        <v>2</v>
      </c>
      <c r="AE28" t="str">
        <f t="shared" si="3"/>
        <v>OK</v>
      </c>
      <c r="AF28" t="str">
        <f t="shared" si="4"/>
        <v>OK</v>
      </c>
      <c r="AG28" t="str">
        <f t="shared" si="5"/>
        <v>OK</v>
      </c>
      <c r="AI28" t="str">
        <f t="shared" si="6"/>
        <v>ERROR</v>
      </c>
      <c r="AJ28" t="str">
        <f t="shared" si="7"/>
        <v>OK</v>
      </c>
      <c r="AK28" t="str">
        <f t="shared" si="8"/>
        <v>OK</v>
      </c>
      <c r="AL28" t="str">
        <f t="shared" si="9"/>
        <v>OK</v>
      </c>
      <c r="AM28" t="str">
        <f t="shared" si="10"/>
        <v>OK</v>
      </c>
      <c r="AN28" t="str">
        <f t="shared" si="11"/>
        <v>OK</v>
      </c>
      <c r="AO28" t="str">
        <f t="shared" si="12"/>
        <v>OK</v>
      </c>
      <c r="AP28" t="str">
        <f t="shared" si="13"/>
        <v>OK</v>
      </c>
      <c r="AQ28" t="str">
        <f t="shared" si="14"/>
        <v>OK</v>
      </c>
    </row>
    <row r="29" spans="1:43" x14ac:dyDescent="0.3">
      <c r="A29" t="s">
        <v>201</v>
      </c>
      <c r="B29" s="1">
        <v>45572</v>
      </c>
      <c r="C29" t="s">
        <v>202</v>
      </c>
      <c r="D29" t="s">
        <v>25</v>
      </c>
      <c r="E29" t="s">
        <v>203</v>
      </c>
      <c r="F29" t="s">
        <v>72</v>
      </c>
      <c r="G29" t="s">
        <v>204</v>
      </c>
      <c r="H29">
        <v>1099</v>
      </c>
      <c r="I29">
        <v>1</v>
      </c>
      <c r="J29">
        <v>1099</v>
      </c>
      <c r="K29" t="s">
        <v>29</v>
      </c>
      <c r="L29">
        <v>0</v>
      </c>
      <c r="M29" t="s">
        <v>30</v>
      </c>
      <c r="N29" t="s">
        <v>66</v>
      </c>
      <c r="O29" t="s">
        <v>205</v>
      </c>
      <c r="P29" t="s">
        <v>98</v>
      </c>
      <c r="Q29" t="s">
        <v>32</v>
      </c>
      <c r="R29" s="1">
        <v>45585</v>
      </c>
      <c r="S29" t="s">
        <v>34</v>
      </c>
      <c r="T29" t="s">
        <v>35</v>
      </c>
      <c r="U29" t="s">
        <v>29</v>
      </c>
      <c r="V29" s="1"/>
      <c r="W29" t="s">
        <v>36</v>
      </c>
      <c r="AB29" s="2">
        <f t="shared" si="0"/>
        <v>1</v>
      </c>
      <c r="AC29">
        <f t="shared" si="1"/>
        <v>0</v>
      </c>
      <c r="AD29">
        <f t="shared" si="2"/>
        <v>2</v>
      </c>
      <c r="AE29" t="str">
        <f t="shared" si="3"/>
        <v>OK</v>
      </c>
      <c r="AF29" t="str">
        <f t="shared" si="4"/>
        <v>OK</v>
      </c>
      <c r="AG29" t="str">
        <f t="shared" si="5"/>
        <v>OK</v>
      </c>
      <c r="AI29" t="str">
        <f t="shared" si="6"/>
        <v>ERROR</v>
      </c>
      <c r="AJ29" t="str">
        <f t="shared" si="7"/>
        <v>OK</v>
      </c>
      <c r="AK29" t="str">
        <f t="shared" si="8"/>
        <v>OK</v>
      </c>
      <c r="AL29" t="str">
        <f t="shared" si="9"/>
        <v>OK</v>
      </c>
      <c r="AM29" t="str">
        <f t="shared" si="10"/>
        <v>ERROR</v>
      </c>
      <c r="AN29" t="str">
        <f t="shared" si="11"/>
        <v>OK</v>
      </c>
      <c r="AO29" t="str">
        <f t="shared" si="12"/>
        <v>OK</v>
      </c>
      <c r="AP29" t="str">
        <f t="shared" si="13"/>
        <v>OK</v>
      </c>
      <c r="AQ29" t="str">
        <f t="shared" si="14"/>
        <v>OK</v>
      </c>
    </row>
    <row r="30" spans="1:43" x14ac:dyDescent="0.3">
      <c r="A30" t="s">
        <v>206</v>
      </c>
      <c r="B30" s="1">
        <v>45572</v>
      </c>
      <c r="C30" t="s">
        <v>207</v>
      </c>
      <c r="D30" t="s">
        <v>25</v>
      </c>
      <c r="E30" t="s">
        <v>208</v>
      </c>
      <c r="F30" t="s">
        <v>27</v>
      </c>
      <c r="G30" t="s">
        <v>209</v>
      </c>
      <c r="H30">
        <v>1899</v>
      </c>
      <c r="I30">
        <v>1</v>
      </c>
      <c r="J30">
        <v>1899</v>
      </c>
      <c r="K30" t="s">
        <v>29</v>
      </c>
      <c r="L30">
        <v>0</v>
      </c>
      <c r="M30" t="s">
        <v>56</v>
      </c>
      <c r="N30" t="s">
        <v>45</v>
      </c>
      <c r="O30" t="s">
        <v>210</v>
      </c>
      <c r="P30" t="s">
        <v>98</v>
      </c>
      <c r="Q30" t="s">
        <v>32</v>
      </c>
      <c r="R30" s="1"/>
      <c r="S30" t="s">
        <v>121</v>
      </c>
      <c r="T30" t="s">
        <v>35</v>
      </c>
      <c r="U30" t="s">
        <v>29</v>
      </c>
      <c r="V30" s="1"/>
      <c r="W30" t="s">
        <v>36</v>
      </c>
      <c r="AB30" s="2">
        <f t="shared" si="0"/>
        <v>1</v>
      </c>
      <c r="AC30">
        <f t="shared" si="1"/>
        <v>0</v>
      </c>
      <c r="AD30">
        <f t="shared" si="2"/>
        <v>2</v>
      </c>
      <c r="AE30" t="str">
        <f t="shared" si="3"/>
        <v>OK</v>
      </c>
      <c r="AF30" t="str">
        <f t="shared" si="4"/>
        <v>OK</v>
      </c>
      <c r="AG30" t="str">
        <f t="shared" si="5"/>
        <v>OK</v>
      </c>
      <c r="AI30" t="str">
        <f t="shared" si="6"/>
        <v>ERROR</v>
      </c>
      <c r="AJ30" t="str">
        <f t="shared" si="7"/>
        <v>ERROR</v>
      </c>
      <c r="AK30" t="str">
        <f t="shared" si="8"/>
        <v>OK</v>
      </c>
      <c r="AL30" t="str">
        <f t="shared" si="9"/>
        <v>OK</v>
      </c>
      <c r="AM30" t="str">
        <f t="shared" si="10"/>
        <v>OK</v>
      </c>
      <c r="AN30" t="str">
        <f t="shared" si="11"/>
        <v>OK</v>
      </c>
      <c r="AO30" t="str">
        <f t="shared" si="12"/>
        <v>OK</v>
      </c>
      <c r="AP30" t="str">
        <f t="shared" si="13"/>
        <v>OK</v>
      </c>
      <c r="AQ30" t="str">
        <f t="shared" si="14"/>
        <v>OK</v>
      </c>
    </row>
    <row r="31" spans="1:43" x14ac:dyDescent="0.3">
      <c r="A31" t="s">
        <v>211</v>
      </c>
      <c r="B31" s="1">
        <v>45572</v>
      </c>
      <c r="C31" t="s">
        <v>212</v>
      </c>
      <c r="D31" t="s">
        <v>25</v>
      </c>
      <c r="E31" t="s">
        <v>213</v>
      </c>
      <c r="F31" t="s">
        <v>54</v>
      </c>
      <c r="G31" t="s">
        <v>214</v>
      </c>
      <c r="H31">
        <v>2199</v>
      </c>
      <c r="I31">
        <v>1</v>
      </c>
      <c r="J31">
        <v>2199</v>
      </c>
      <c r="K31" t="s">
        <v>43</v>
      </c>
      <c r="L31">
        <v>20</v>
      </c>
      <c r="M31" t="s">
        <v>44</v>
      </c>
      <c r="N31" t="s">
        <v>31</v>
      </c>
      <c r="O31" t="s">
        <v>215</v>
      </c>
      <c r="P31" t="s">
        <v>114</v>
      </c>
      <c r="Q31" t="s">
        <v>46</v>
      </c>
      <c r="R31" s="1">
        <v>45585</v>
      </c>
      <c r="S31" t="s">
        <v>34</v>
      </c>
      <c r="T31" t="s">
        <v>35</v>
      </c>
      <c r="U31" t="s">
        <v>29</v>
      </c>
      <c r="V31" s="1"/>
      <c r="W31" t="s">
        <v>36</v>
      </c>
      <c r="AB31" s="2">
        <f t="shared" si="0"/>
        <v>1</v>
      </c>
      <c r="AC31">
        <f t="shared" si="1"/>
        <v>0</v>
      </c>
      <c r="AD31">
        <f t="shared" si="2"/>
        <v>2</v>
      </c>
      <c r="AE31" t="str">
        <f t="shared" si="3"/>
        <v>OK</v>
      </c>
      <c r="AF31" t="str">
        <f>IF(OR(H31&lt;=0,H31&gt;10000),"FLAG","OK")</f>
        <v>OK</v>
      </c>
      <c r="AG31" t="str">
        <f t="shared" si="5"/>
        <v>OK</v>
      </c>
      <c r="AI31" t="str">
        <f t="shared" si="6"/>
        <v>ERROR</v>
      </c>
      <c r="AJ31" t="str">
        <f t="shared" si="7"/>
        <v>OK</v>
      </c>
      <c r="AK31" t="str">
        <f t="shared" si="8"/>
        <v>OK</v>
      </c>
      <c r="AL31" t="str">
        <f t="shared" si="9"/>
        <v>OK</v>
      </c>
      <c r="AM31" t="str">
        <f t="shared" si="10"/>
        <v>ERROR</v>
      </c>
      <c r="AN31" t="str">
        <f t="shared" si="11"/>
        <v>OK</v>
      </c>
      <c r="AO31" t="str">
        <f t="shared" si="12"/>
        <v>OK</v>
      </c>
      <c r="AP31" t="str">
        <f t="shared" si="13"/>
        <v>OK</v>
      </c>
      <c r="AQ31" t="str">
        <f t="shared" si="14"/>
        <v>OK</v>
      </c>
    </row>
    <row r="32" spans="1:43" x14ac:dyDescent="0.3">
      <c r="A32" t="s">
        <v>216</v>
      </c>
      <c r="B32" s="1">
        <v>45572</v>
      </c>
      <c r="C32" t="s">
        <v>217</v>
      </c>
      <c r="D32" t="s">
        <v>39</v>
      </c>
      <c r="E32" t="s">
        <v>218</v>
      </c>
      <c r="F32" t="s">
        <v>41</v>
      </c>
      <c r="G32" t="s">
        <v>219</v>
      </c>
      <c r="H32">
        <v>5499</v>
      </c>
      <c r="I32">
        <v>1</v>
      </c>
      <c r="J32">
        <v>5499</v>
      </c>
      <c r="K32" t="s">
        <v>29</v>
      </c>
      <c r="L32">
        <v>0</v>
      </c>
      <c r="M32" t="s">
        <v>44</v>
      </c>
      <c r="N32" t="s">
        <v>45</v>
      </c>
      <c r="O32" t="s">
        <v>32</v>
      </c>
      <c r="P32" t="s">
        <v>33</v>
      </c>
      <c r="Q32" t="s">
        <v>32</v>
      </c>
      <c r="R32" s="1">
        <v>45586</v>
      </c>
      <c r="S32" t="s">
        <v>34</v>
      </c>
      <c r="T32" t="s">
        <v>47</v>
      </c>
      <c r="U32" t="s">
        <v>48</v>
      </c>
      <c r="V32" s="1">
        <v>45606</v>
      </c>
      <c r="W32" t="s">
        <v>49</v>
      </c>
      <c r="AB32" s="2">
        <f t="shared" si="0"/>
        <v>1</v>
      </c>
      <c r="AC32">
        <f t="shared" si="1"/>
        <v>0</v>
      </c>
      <c r="AD32">
        <f t="shared" si="2"/>
        <v>2</v>
      </c>
      <c r="AE32" t="str">
        <f t="shared" si="3"/>
        <v>OK</v>
      </c>
      <c r="AF32" t="str">
        <f t="shared" si="4"/>
        <v>OK</v>
      </c>
      <c r="AG32" t="str">
        <f t="shared" si="5"/>
        <v>OK</v>
      </c>
      <c r="AI32" t="str">
        <f t="shared" si="6"/>
        <v>ERROR</v>
      </c>
      <c r="AJ32" t="str">
        <f t="shared" si="7"/>
        <v>OK</v>
      </c>
      <c r="AK32" t="str">
        <f t="shared" si="8"/>
        <v>OK</v>
      </c>
      <c r="AL32" t="str">
        <f t="shared" si="9"/>
        <v>OK</v>
      </c>
      <c r="AM32" t="str">
        <f t="shared" si="10"/>
        <v>OK</v>
      </c>
      <c r="AN32" t="str">
        <f t="shared" si="11"/>
        <v>OK</v>
      </c>
      <c r="AO32" t="str">
        <f t="shared" si="12"/>
        <v>OK</v>
      </c>
      <c r="AP32" t="str">
        <f t="shared" si="13"/>
        <v>OK</v>
      </c>
      <c r="AQ32" t="str">
        <f t="shared" si="14"/>
        <v>OK</v>
      </c>
    </row>
    <row r="33" spans="1:43" x14ac:dyDescent="0.3">
      <c r="A33" t="s">
        <v>220</v>
      </c>
      <c r="B33" s="1">
        <v>45573</v>
      </c>
      <c r="C33" t="s">
        <v>221</v>
      </c>
      <c r="D33" t="s">
        <v>25</v>
      </c>
      <c r="E33" t="s">
        <v>222</v>
      </c>
      <c r="F33" t="s">
        <v>27</v>
      </c>
      <c r="G33" t="s">
        <v>223</v>
      </c>
      <c r="H33">
        <v>899</v>
      </c>
      <c r="I33">
        <v>2</v>
      </c>
      <c r="J33">
        <v>1798</v>
      </c>
      <c r="K33" t="s">
        <v>29</v>
      </c>
      <c r="L33">
        <v>0</v>
      </c>
      <c r="M33" t="s">
        <v>30</v>
      </c>
      <c r="N33" t="s">
        <v>31</v>
      </c>
      <c r="O33" t="s">
        <v>46</v>
      </c>
      <c r="P33" t="s">
        <v>46</v>
      </c>
      <c r="Q33" t="s">
        <v>46</v>
      </c>
      <c r="R33" s="1">
        <v>45579</v>
      </c>
      <c r="S33" t="s">
        <v>34</v>
      </c>
      <c r="T33" t="s">
        <v>35</v>
      </c>
      <c r="U33" t="s">
        <v>29</v>
      </c>
      <c r="V33" s="1"/>
      <c r="W33" t="s">
        <v>36</v>
      </c>
      <c r="AB33" s="2">
        <f t="shared" si="0"/>
        <v>1</v>
      </c>
      <c r="AC33">
        <f t="shared" si="1"/>
        <v>0</v>
      </c>
      <c r="AD33">
        <f t="shared" si="2"/>
        <v>2</v>
      </c>
      <c r="AE33" t="str">
        <f t="shared" si="3"/>
        <v>OK</v>
      </c>
      <c r="AF33" t="str">
        <f t="shared" si="4"/>
        <v>OK</v>
      </c>
      <c r="AG33" t="str">
        <f t="shared" si="5"/>
        <v>OK</v>
      </c>
      <c r="AI33" t="str">
        <f t="shared" si="6"/>
        <v>ERROR</v>
      </c>
      <c r="AJ33" t="str">
        <f t="shared" si="7"/>
        <v>OK</v>
      </c>
      <c r="AK33" t="str">
        <f t="shared" si="8"/>
        <v>OK</v>
      </c>
      <c r="AL33" t="str">
        <f t="shared" si="9"/>
        <v>OK</v>
      </c>
      <c r="AM33" t="str">
        <f t="shared" si="10"/>
        <v>ERROR</v>
      </c>
      <c r="AN33" t="str">
        <f t="shared" si="11"/>
        <v>OK</v>
      </c>
      <c r="AO33" t="str">
        <f t="shared" si="12"/>
        <v>OK</v>
      </c>
      <c r="AP33" t="str">
        <f t="shared" si="13"/>
        <v>OK</v>
      </c>
      <c r="AQ33" t="str">
        <f t="shared" si="14"/>
        <v>OK</v>
      </c>
    </row>
    <row r="34" spans="1:43" x14ac:dyDescent="0.3">
      <c r="A34" t="s">
        <v>224</v>
      </c>
      <c r="B34" s="1">
        <v>45573</v>
      </c>
      <c r="C34" t="s">
        <v>225</v>
      </c>
      <c r="D34" t="s">
        <v>25</v>
      </c>
      <c r="E34" t="s">
        <v>226</v>
      </c>
      <c r="F34" t="s">
        <v>62</v>
      </c>
      <c r="G34" t="s">
        <v>227</v>
      </c>
      <c r="H34">
        <v>6999</v>
      </c>
      <c r="I34">
        <v>1</v>
      </c>
      <c r="J34">
        <v>6999</v>
      </c>
      <c r="K34" t="s">
        <v>64</v>
      </c>
      <c r="L34">
        <v>15</v>
      </c>
      <c r="M34" t="s">
        <v>65</v>
      </c>
      <c r="N34" t="s">
        <v>66</v>
      </c>
      <c r="O34" t="s">
        <v>91</v>
      </c>
      <c r="P34" t="s">
        <v>92</v>
      </c>
      <c r="Q34" t="s">
        <v>46</v>
      </c>
      <c r="R34" s="1">
        <v>45581</v>
      </c>
      <c r="S34" t="s">
        <v>34</v>
      </c>
      <c r="T34" t="s">
        <v>47</v>
      </c>
      <c r="U34" t="s">
        <v>69</v>
      </c>
      <c r="V34" s="1">
        <v>45601</v>
      </c>
      <c r="W34" t="s">
        <v>49</v>
      </c>
      <c r="AB34" s="2">
        <f t="shared" si="0"/>
        <v>1</v>
      </c>
      <c r="AC34">
        <f t="shared" si="1"/>
        <v>0</v>
      </c>
      <c r="AD34">
        <f t="shared" si="2"/>
        <v>2</v>
      </c>
      <c r="AE34" t="str">
        <f t="shared" si="3"/>
        <v>OK</v>
      </c>
      <c r="AF34" t="str">
        <f t="shared" si="4"/>
        <v>OK</v>
      </c>
      <c r="AG34" t="str">
        <f t="shared" si="5"/>
        <v>OK</v>
      </c>
      <c r="AI34" t="str">
        <f t="shared" si="6"/>
        <v>ERROR</v>
      </c>
      <c r="AJ34" t="str">
        <f t="shared" si="7"/>
        <v>OK</v>
      </c>
      <c r="AK34" t="str">
        <f t="shared" si="8"/>
        <v>OK</v>
      </c>
      <c r="AL34" t="str">
        <f t="shared" si="9"/>
        <v>OK</v>
      </c>
      <c r="AM34" t="str">
        <f t="shared" si="10"/>
        <v>OK</v>
      </c>
      <c r="AN34" t="str">
        <f t="shared" si="11"/>
        <v>OK</v>
      </c>
      <c r="AO34" t="str">
        <f t="shared" si="12"/>
        <v>OK</v>
      </c>
      <c r="AP34" t="str">
        <f t="shared" si="13"/>
        <v>OK</v>
      </c>
      <c r="AQ34" t="str">
        <f t="shared" si="14"/>
        <v>OK</v>
      </c>
    </row>
    <row r="35" spans="1:43" x14ac:dyDescent="0.3">
      <c r="A35" t="s">
        <v>228</v>
      </c>
      <c r="B35" s="1">
        <v>45573</v>
      </c>
      <c r="C35" t="s">
        <v>229</v>
      </c>
      <c r="D35" t="s">
        <v>39</v>
      </c>
      <c r="E35" t="s">
        <v>230</v>
      </c>
      <c r="F35" t="s">
        <v>72</v>
      </c>
      <c r="G35" t="s">
        <v>231</v>
      </c>
      <c r="H35">
        <v>2999</v>
      </c>
      <c r="I35">
        <v>1</v>
      </c>
      <c r="J35">
        <v>2999</v>
      </c>
      <c r="K35" t="s">
        <v>29</v>
      </c>
      <c r="L35">
        <v>0</v>
      </c>
      <c r="M35" t="s">
        <v>44</v>
      </c>
      <c r="N35" t="s">
        <v>45</v>
      </c>
      <c r="O35" t="s">
        <v>67</v>
      </c>
      <c r="P35" t="s">
        <v>68</v>
      </c>
      <c r="Q35" t="s">
        <v>57</v>
      </c>
      <c r="R35" s="1">
        <v>45580</v>
      </c>
      <c r="S35" t="s">
        <v>34</v>
      </c>
      <c r="T35" t="s">
        <v>35</v>
      </c>
      <c r="U35" t="s">
        <v>29</v>
      </c>
      <c r="V35" s="1"/>
      <c r="W35" t="s">
        <v>36</v>
      </c>
      <c r="AB35" s="2">
        <f t="shared" si="0"/>
        <v>1</v>
      </c>
      <c r="AC35">
        <f t="shared" si="1"/>
        <v>0</v>
      </c>
      <c r="AD35">
        <f t="shared" si="2"/>
        <v>2</v>
      </c>
      <c r="AE35" t="str">
        <f t="shared" si="3"/>
        <v>OK</v>
      </c>
      <c r="AF35" t="str">
        <f t="shared" si="4"/>
        <v>OK</v>
      </c>
      <c r="AG35" t="str">
        <f t="shared" si="5"/>
        <v>OK</v>
      </c>
      <c r="AI35" t="str">
        <f t="shared" si="6"/>
        <v>ERROR</v>
      </c>
      <c r="AJ35" t="str">
        <f t="shared" si="7"/>
        <v>OK</v>
      </c>
      <c r="AK35" t="str">
        <f t="shared" si="8"/>
        <v>OK</v>
      </c>
      <c r="AL35" t="str">
        <f t="shared" si="9"/>
        <v>OK</v>
      </c>
      <c r="AM35" t="str">
        <f t="shared" si="10"/>
        <v>ERROR</v>
      </c>
      <c r="AN35" t="str">
        <f t="shared" si="11"/>
        <v>OK</v>
      </c>
      <c r="AO35" t="str">
        <f t="shared" si="12"/>
        <v>OK</v>
      </c>
      <c r="AP35" t="str">
        <f t="shared" si="13"/>
        <v>OK</v>
      </c>
      <c r="AQ35" t="str">
        <f t="shared" si="14"/>
        <v>OK</v>
      </c>
    </row>
    <row r="36" spans="1:43" x14ac:dyDescent="0.3">
      <c r="A36" t="s">
        <v>232</v>
      </c>
      <c r="B36" s="1">
        <v>45573</v>
      </c>
      <c r="C36" t="s">
        <v>233</v>
      </c>
      <c r="D36" t="s">
        <v>25</v>
      </c>
      <c r="E36" t="s">
        <v>234</v>
      </c>
      <c r="F36" t="s">
        <v>54</v>
      </c>
      <c r="G36" t="s">
        <v>235</v>
      </c>
      <c r="H36">
        <v>1599</v>
      </c>
      <c r="I36">
        <v>1</v>
      </c>
      <c r="J36">
        <v>1599</v>
      </c>
      <c r="K36" t="s">
        <v>29</v>
      </c>
      <c r="L36">
        <v>0</v>
      </c>
      <c r="M36" t="s">
        <v>56</v>
      </c>
      <c r="N36" t="s">
        <v>31</v>
      </c>
      <c r="O36" t="s">
        <v>78</v>
      </c>
      <c r="P36" t="s">
        <v>79</v>
      </c>
      <c r="Q36" t="s">
        <v>57</v>
      </c>
      <c r="R36" s="1">
        <v>45582</v>
      </c>
      <c r="S36" t="s">
        <v>34</v>
      </c>
      <c r="T36" t="s">
        <v>47</v>
      </c>
      <c r="U36" t="s">
        <v>48</v>
      </c>
      <c r="V36" s="1">
        <v>45604</v>
      </c>
      <c r="W36" t="s">
        <v>49</v>
      </c>
      <c r="AB36" s="2">
        <f t="shared" si="0"/>
        <v>1</v>
      </c>
      <c r="AC36">
        <f t="shared" si="1"/>
        <v>0</v>
      </c>
      <c r="AD36">
        <f t="shared" si="2"/>
        <v>2</v>
      </c>
      <c r="AE36" t="str">
        <f t="shared" si="3"/>
        <v>OK</v>
      </c>
      <c r="AF36" t="str">
        <f t="shared" si="4"/>
        <v>OK</v>
      </c>
      <c r="AG36" t="str">
        <f t="shared" si="5"/>
        <v>OK</v>
      </c>
      <c r="AI36" t="str">
        <f t="shared" si="6"/>
        <v>ERROR</v>
      </c>
      <c r="AJ36" t="str">
        <f t="shared" si="7"/>
        <v>OK</v>
      </c>
      <c r="AK36" t="str">
        <f t="shared" si="8"/>
        <v>OK</v>
      </c>
      <c r="AL36" t="str">
        <f t="shared" si="9"/>
        <v>OK</v>
      </c>
      <c r="AM36" t="str">
        <f t="shared" si="10"/>
        <v>OK</v>
      </c>
      <c r="AN36" t="str">
        <f t="shared" si="11"/>
        <v>OK</v>
      </c>
      <c r="AO36" t="str">
        <f t="shared" si="12"/>
        <v>OK</v>
      </c>
      <c r="AP36" t="str">
        <f t="shared" si="13"/>
        <v>OK</v>
      </c>
      <c r="AQ36" t="str">
        <f t="shared" si="14"/>
        <v>OK</v>
      </c>
    </row>
    <row r="37" spans="1:43" x14ac:dyDescent="0.3">
      <c r="A37" t="s">
        <v>236</v>
      </c>
      <c r="B37" s="1">
        <v>45574</v>
      </c>
      <c r="C37" t="s">
        <v>237</v>
      </c>
      <c r="D37" t="s">
        <v>25</v>
      </c>
      <c r="E37" t="s">
        <v>238</v>
      </c>
      <c r="F37" t="s">
        <v>41</v>
      </c>
      <c r="G37" t="s">
        <v>239</v>
      </c>
      <c r="H37">
        <v>1999</v>
      </c>
      <c r="I37">
        <v>1</v>
      </c>
      <c r="J37">
        <v>1999</v>
      </c>
      <c r="K37" t="s">
        <v>43</v>
      </c>
      <c r="L37">
        <v>20</v>
      </c>
      <c r="M37" t="s">
        <v>112</v>
      </c>
      <c r="N37" t="s">
        <v>45</v>
      </c>
      <c r="O37" t="s">
        <v>85</v>
      </c>
      <c r="P37" t="s">
        <v>33</v>
      </c>
      <c r="Q37" t="s">
        <v>32</v>
      </c>
      <c r="R37" s="1">
        <v>45581</v>
      </c>
      <c r="S37" t="s">
        <v>34</v>
      </c>
      <c r="T37" t="s">
        <v>35</v>
      </c>
      <c r="U37" t="s">
        <v>29</v>
      </c>
      <c r="V37" s="1"/>
      <c r="W37" t="s">
        <v>36</v>
      </c>
      <c r="AB37" s="2">
        <f t="shared" si="0"/>
        <v>1</v>
      </c>
      <c r="AC37">
        <f t="shared" si="1"/>
        <v>0</v>
      </c>
      <c r="AD37">
        <f t="shared" si="2"/>
        <v>2</v>
      </c>
      <c r="AE37" t="str">
        <f t="shared" si="3"/>
        <v>OK</v>
      </c>
      <c r="AF37" t="str">
        <f t="shared" si="4"/>
        <v>OK</v>
      </c>
      <c r="AG37" t="str">
        <f t="shared" si="5"/>
        <v>OK</v>
      </c>
      <c r="AI37" t="str">
        <f t="shared" si="6"/>
        <v>ERROR</v>
      </c>
      <c r="AJ37" t="str">
        <f t="shared" si="7"/>
        <v>OK</v>
      </c>
      <c r="AK37" t="str">
        <f t="shared" si="8"/>
        <v>OK</v>
      </c>
      <c r="AL37" t="str">
        <f t="shared" si="9"/>
        <v>OK</v>
      </c>
      <c r="AM37" t="str">
        <f t="shared" si="10"/>
        <v>ERROR</v>
      </c>
      <c r="AN37" t="str">
        <f t="shared" si="11"/>
        <v>OK</v>
      </c>
      <c r="AO37" t="str">
        <f t="shared" si="12"/>
        <v>OK</v>
      </c>
      <c r="AP37" t="str">
        <f t="shared" si="13"/>
        <v>OK</v>
      </c>
      <c r="AQ37" t="str">
        <f t="shared" si="14"/>
        <v>OK</v>
      </c>
    </row>
    <row r="38" spans="1:43" x14ac:dyDescent="0.3">
      <c r="A38" t="s">
        <v>240</v>
      </c>
      <c r="B38" s="1">
        <v>45574</v>
      </c>
      <c r="C38" t="s">
        <v>241</v>
      </c>
      <c r="D38" t="s">
        <v>25</v>
      </c>
      <c r="E38" t="s">
        <v>242</v>
      </c>
      <c r="F38" t="s">
        <v>27</v>
      </c>
      <c r="G38" t="s">
        <v>243</v>
      </c>
      <c r="H38">
        <v>1799</v>
      </c>
      <c r="I38">
        <v>1</v>
      </c>
      <c r="J38">
        <v>1799</v>
      </c>
      <c r="K38" t="s">
        <v>29</v>
      </c>
      <c r="L38">
        <v>0</v>
      </c>
      <c r="M38" t="s">
        <v>30</v>
      </c>
      <c r="N38" t="s">
        <v>66</v>
      </c>
      <c r="O38" t="s">
        <v>97</v>
      </c>
      <c r="P38" t="s">
        <v>98</v>
      </c>
      <c r="Q38" t="s">
        <v>32</v>
      </c>
      <c r="R38" s="1">
        <v>45582</v>
      </c>
      <c r="S38" t="s">
        <v>34</v>
      </c>
      <c r="T38" t="s">
        <v>47</v>
      </c>
      <c r="U38" t="s">
        <v>80</v>
      </c>
      <c r="V38" s="1">
        <v>45608</v>
      </c>
      <c r="W38" t="s">
        <v>49</v>
      </c>
      <c r="AB38" s="2">
        <f t="shared" si="0"/>
        <v>1</v>
      </c>
      <c r="AC38">
        <f t="shared" si="1"/>
        <v>0</v>
      </c>
      <c r="AD38">
        <f t="shared" si="2"/>
        <v>2</v>
      </c>
      <c r="AE38" t="str">
        <f t="shared" si="3"/>
        <v>OK</v>
      </c>
      <c r="AF38" t="str">
        <f t="shared" si="4"/>
        <v>OK</v>
      </c>
      <c r="AG38" t="str">
        <f t="shared" si="5"/>
        <v>OK</v>
      </c>
      <c r="AI38" t="str">
        <f t="shared" si="6"/>
        <v>ERROR</v>
      </c>
      <c r="AJ38" t="str">
        <f t="shared" si="7"/>
        <v>OK</v>
      </c>
      <c r="AK38" t="str">
        <f t="shared" si="8"/>
        <v>OK</v>
      </c>
      <c r="AL38" t="str">
        <f t="shared" si="9"/>
        <v>OK</v>
      </c>
      <c r="AM38" t="str">
        <f t="shared" si="10"/>
        <v>OK</v>
      </c>
      <c r="AN38" t="str">
        <f t="shared" si="11"/>
        <v>OK</v>
      </c>
      <c r="AO38" t="str">
        <f t="shared" si="12"/>
        <v>OK</v>
      </c>
      <c r="AP38" t="str">
        <f t="shared" si="13"/>
        <v>OK</v>
      </c>
      <c r="AQ38" t="str">
        <f t="shared" si="14"/>
        <v>OK</v>
      </c>
    </row>
    <row r="39" spans="1:43" x14ac:dyDescent="0.3">
      <c r="A39" t="s">
        <v>244</v>
      </c>
      <c r="B39" s="1">
        <v>45574</v>
      </c>
      <c r="C39" t="s">
        <v>245</v>
      </c>
      <c r="D39" t="s">
        <v>39</v>
      </c>
      <c r="E39" t="s">
        <v>246</v>
      </c>
      <c r="F39" t="s">
        <v>62</v>
      </c>
      <c r="G39" t="s">
        <v>247</v>
      </c>
      <c r="H39">
        <v>7999</v>
      </c>
      <c r="I39">
        <v>1</v>
      </c>
      <c r="J39">
        <v>7999</v>
      </c>
      <c r="K39" t="s">
        <v>29</v>
      </c>
      <c r="L39">
        <v>0</v>
      </c>
      <c r="M39" t="s">
        <v>44</v>
      </c>
      <c r="N39" t="s">
        <v>31</v>
      </c>
      <c r="O39" t="s">
        <v>103</v>
      </c>
      <c r="P39" t="s">
        <v>104</v>
      </c>
      <c r="Q39" t="s">
        <v>46</v>
      </c>
      <c r="R39" s="1">
        <v>45583</v>
      </c>
      <c r="S39" t="s">
        <v>34</v>
      </c>
      <c r="T39" t="s">
        <v>35</v>
      </c>
      <c r="U39" t="s">
        <v>29</v>
      </c>
      <c r="V39" s="1"/>
      <c r="W39" t="s">
        <v>36</v>
      </c>
      <c r="AB39" s="2">
        <f t="shared" si="0"/>
        <v>1</v>
      </c>
      <c r="AC39">
        <f t="shared" si="1"/>
        <v>0</v>
      </c>
      <c r="AD39">
        <f t="shared" si="2"/>
        <v>2</v>
      </c>
      <c r="AE39" t="str">
        <f t="shared" si="3"/>
        <v>OK</v>
      </c>
      <c r="AF39" t="str">
        <f t="shared" si="4"/>
        <v>OK</v>
      </c>
      <c r="AG39" t="str">
        <f t="shared" si="5"/>
        <v>OK</v>
      </c>
      <c r="AI39" t="str">
        <f t="shared" si="6"/>
        <v>ERROR</v>
      </c>
      <c r="AJ39" t="str">
        <f t="shared" si="7"/>
        <v>OK</v>
      </c>
      <c r="AK39" t="str">
        <f t="shared" si="8"/>
        <v>OK</v>
      </c>
      <c r="AL39" t="str">
        <f t="shared" si="9"/>
        <v>OK</v>
      </c>
      <c r="AM39" t="str">
        <f t="shared" si="10"/>
        <v>ERROR</v>
      </c>
      <c r="AN39" t="str">
        <f t="shared" si="11"/>
        <v>OK</v>
      </c>
      <c r="AO39" t="str">
        <f t="shared" si="12"/>
        <v>OK</v>
      </c>
      <c r="AP39" t="str">
        <f t="shared" si="13"/>
        <v>OK</v>
      </c>
      <c r="AQ39" t="str">
        <f t="shared" si="14"/>
        <v>OK</v>
      </c>
    </row>
    <row r="40" spans="1:43" x14ac:dyDescent="0.3">
      <c r="A40" t="s">
        <v>248</v>
      </c>
      <c r="B40" s="1">
        <v>45574</v>
      </c>
      <c r="C40" t="s">
        <v>249</v>
      </c>
      <c r="D40" t="s">
        <v>25</v>
      </c>
      <c r="E40" t="s">
        <v>250</v>
      </c>
      <c r="F40" t="s">
        <v>72</v>
      </c>
      <c r="G40" t="s">
        <v>251</v>
      </c>
      <c r="H40">
        <v>1499</v>
      </c>
      <c r="I40">
        <v>1</v>
      </c>
      <c r="J40">
        <v>1499</v>
      </c>
      <c r="K40" t="s">
        <v>111</v>
      </c>
      <c r="L40">
        <v>10</v>
      </c>
      <c r="M40" t="s">
        <v>65</v>
      </c>
      <c r="N40" t="s">
        <v>45</v>
      </c>
      <c r="O40" t="s">
        <v>113</v>
      </c>
      <c r="P40" t="s">
        <v>114</v>
      </c>
      <c r="Q40" t="s">
        <v>46</v>
      </c>
      <c r="R40" s="1">
        <v>45582</v>
      </c>
      <c r="S40" t="s">
        <v>34</v>
      </c>
      <c r="T40" t="s">
        <v>35</v>
      </c>
      <c r="U40" t="s">
        <v>29</v>
      </c>
      <c r="V40" s="1"/>
      <c r="W40" t="s">
        <v>36</v>
      </c>
      <c r="AB40" s="2">
        <f t="shared" si="0"/>
        <v>1</v>
      </c>
      <c r="AC40">
        <f t="shared" si="1"/>
        <v>0</v>
      </c>
      <c r="AD40">
        <f t="shared" si="2"/>
        <v>2</v>
      </c>
      <c r="AE40" t="str">
        <f t="shared" si="3"/>
        <v>OK</v>
      </c>
      <c r="AF40" t="str">
        <f t="shared" si="4"/>
        <v>OK</v>
      </c>
      <c r="AG40" t="str">
        <f t="shared" si="5"/>
        <v>OK</v>
      </c>
      <c r="AI40" t="str">
        <f t="shared" si="6"/>
        <v>ERROR</v>
      </c>
      <c r="AJ40" t="str">
        <f t="shared" si="7"/>
        <v>OK</v>
      </c>
      <c r="AK40" t="str">
        <f t="shared" si="8"/>
        <v>OK</v>
      </c>
      <c r="AL40" t="str">
        <f t="shared" si="9"/>
        <v>OK</v>
      </c>
      <c r="AM40" t="str">
        <f t="shared" si="10"/>
        <v>ERROR</v>
      </c>
      <c r="AN40" t="str">
        <f t="shared" si="11"/>
        <v>OK</v>
      </c>
      <c r="AO40" t="str">
        <f t="shared" si="12"/>
        <v>OK</v>
      </c>
      <c r="AP40" t="str">
        <f t="shared" si="13"/>
        <v>OK</v>
      </c>
      <c r="AQ40" t="str">
        <f t="shared" si="14"/>
        <v>OK</v>
      </c>
    </row>
    <row r="41" spans="1:43" x14ac:dyDescent="0.3">
      <c r="A41" t="s">
        <v>252</v>
      </c>
      <c r="B41" s="1">
        <v>45575</v>
      </c>
      <c r="C41" t="s">
        <v>253</v>
      </c>
      <c r="D41" t="s">
        <v>25</v>
      </c>
      <c r="E41" t="s">
        <v>254</v>
      </c>
      <c r="F41" t="s">
        <v>54</v>
      </c>
      <c r="G41" t="s">
        <v>255</v>
      </c>
      <c r="H41">
        <v>1699</v>
      </c>
      <c r="I41">
        <v>1</v>
      </c>
      <c r="J41">
        <v>1699</v>
      </c>
      <c r="K41" t="s">
        <v>29</v>
      </c>
      <c r="L41">
        <v>0</v>
      </c>
      <c r="M41" t="s">
        <v>56</v>
      </c>
      <c r="N41" t="s">
        <v>31</v>
      </c>
      <c r="O41" t="s">
        <v>57</v>
      </c>
      <c r="P41" t="s">
        <v>58</v>
      </c>
      <c r="Q41" t="s">
        <v>57</v>
      </c>
      <c r="R41" s="1">
        <v>45584</v>
      </c>
      <c r="S41" t="s">
        <v>34</v>
      </c>
      <c r="T41" t="s">
        <v>47</v>
      </c>
      <c r="U41" t="s">
        <v>48</v>
      </c>
      <c r="V41" s="1">
        <v>45606</v>
      </c>
      <c r="W41" t="s">
        <v>49</v>
      </c>
      <c r="AB41" s="2">
        <f t="shared" si="0"/>
        <v>1</v>
      </c>
      <c r="AC41">
        <f t="shared" si="1"/>
        <v>0</v>
      </c>
      <c r="AD41">
        <f t="shared" si="2"/>
        <v>2</v>
      </c>
      <c r="AE41" t="str">
        <f t="shared" si="3"/>
        <v>OK</v>
      </c>
      <c r="AF41" t="str">
        <f t="shared" si="4"/>
        <v>OK</v>
      </c>
      <c r="AG41" t="str">
        <f t="shared" si="5"/>
        <v>OK</v>
      </c>
      <c r="AI41" t="str">
        <f t="shared" si="6"/>
        <v>ERROR</v>
      </c>
      <c r="AJ41" t="str">
        <f t="shared" si="7"/>
        <v>OK</v>
      </c>
      <c r="AK41" t="str">
        <f t="shared" si="8"/>
        <v>OK</v>
      </c>
      <c r="AL41" t="str">
        <f t="shared" si="9"/>
        <v>OK</v>
      </c>
      <c r="AM41" t="str">
        <f t="shared" si="10"/>
        <v>OK</v>
      </c>
      <c r="AN41" t="str">
        <f t="shared" si="11"/>
        <v>OK</v>
      </c>
      <c r="AO41" t="str">
        <f t="shared" si="12"/>
        <v>OK</v>
      </c>
      <c r="AP41" t="str">
        <f t="shared" si="13"/>
        <v>OK</v>
      </c>
      <c r="AQ41" t="str">
        <f t="shared" si="14"/>
        <v>OK</v>
      </c>
    </row>
    <row r="42" spans="1:43" x14ac:dyDescent="0.3">
      <c r="A42" t="s">
        <v>256</v>
      </c>
      <c r="B42" s="1">
        <v>45575</v>
      </c>
      <c r="C42" t="s">
        <v>257</v>
      </c>
      <c r="D42" t="s">
        <v>25</v>
      </c>
      <c r="E42" t="s">
        <v>258</v>
      </c>
      <c r="F42" t="s">
        <v>41</v>
      </c>
      <c r="G42" t="s">
        <v>259</v>
      </c>
      <c r="H42">
        <v>2299</v>
      </c>
      <c r="I42">
        <v>1</v>
      </c>
      <c r="J42">
        <v>2299</v>
      </c>
      <c r="K42" t="s">
        <v>29</v>
      </c>
      <c r="L42">
        <v>0</v>
      </c>
      <c r="M42" t="s">
        <v>30</v>
      </c>
      <c r="N42" t="s">
        <v>66</v>
      </c>
      <c r="O42" t="s">
        <v>32</v>
      </c>
      <c r="P42" t="s">
        <v>33</v>
      </c>
      <c r="Q42" t="s">
        <v>32</v>
      </c>
      <c r="R42" s="1">
        <v>45583</v>
      </c>
      <c r="S42" t="s">
        <v>34</v>
      </c>
      <c r="T42" t="s">
        <v>35</v>
      </c>
      <c r="U42" t="s">
        <v>29</v>
      </c>
      <c r="V42" s="1"/>
      <c r="W42" t="s">
        <v>36</v>
      </c>
      <c r="AB42" s="2">
        <f t="shared" si="0"/>
        <v>1</v>
      </c>
      <c r="AC42">
        <f t="shared" si="1"/>
        <v>0</v>
      </c>
      <c r="AD42">
        <f t="shared" si="2"/>
        <v>2</v>
      </c>
      <c r="AE42" t="str">
        <f t="shared" si="3"/>
        <v>OK</v>
      </c>
      <c r="AF42" t="str">
        <f t="shared" si="4"/>
        <v>OK</v>
      </c>
      <c r="AG42" t="str">
        <f t="shared" si="5"/>
        <v>OK</v>
      </c>
      <c r="AI42" t="str">
        <f t="shared" si="6"/>
        <v>ERROR</v>
      </c>
      <c r="AJ42" t="str">
        <f t="shared" si="7"/>
        <v>OK</v>
      </c>
      <c r="AK42" t="str">
        <f t="shared" si="8"/>
        <v>OK</v>
      </c>
      <c r="AL42" t="str">
        <f t="shared" si="9"/>
        <v>OK</v>
      </c>
      <c r="AM42" t="str">
        <f t="shared" si="10"/>
        <v>ERROR</v>
      </c>
      <c r="AN42" t="str">
        <f t="shared" si="11"/>
        <v>OK</v>
      </c>
      <c r="AO42" t="str">
        <f t="shared" si="12"/>
        <v>OK</v>
      </c>
      <c r="AP42" t="str">
        <f t="shared" si="13"/>
        <v>OK</v>
      </c>
      <c r="AQ42" t="str">
        <f t="shared" si="14"/>
        <v>OK</v>
      </c>
    </row>
    <row r="43" spans="1:43" x14ac:dyDescent="0.3">
      <c r="A43" t="s">
        <v>260</v>
      </c>
      <c r="B43" s="1">
        <v>45575</v>
      </c>
      <c r="C43" t="s">
        <v>261</v>
      </c>
      <c r="D43" t="s">
        <v>39</v>
      </c>
      <c r="E43" t="s">
        <v>262</v>
      </c>
      <c r="F43" t="s">
        <v>27</v>
      </c>
      <c r="G43" t="s">
        <v>263</v>
      </c>
      <c r="H43">
        <v>1599</v>
      </c>
      <c r="I43">
        <v>2</v>
      </c>
      <c r="J43">
        <v>3198</v>
      </c>
      <c r="K43" t="s">
        <v>43</v>
      </c>
      <c r="L43">
        <v>20</v>
      </c>
      <c r="M43" t="s">
        <v>44</v>
      </c>
      <c r="N43" t="s">
        <v>45</v>
      </c>
      <c r="O43" t="s">
        <v>46</v>
      </c>
      <c r="P43" t="s">
        <v>46</v>
      </c>
      <c r="Q43" t="s">
        <v>46</v>
      </c>
      <c r="R43" s="1">
        <v>45582</v>
      </c>
      <c r="S43" t="s">
        <v>34</v>
      </c>
      <c r="T43" t="s">
        <v>47</v>
      </c>
      <c r="U43" t="s">
        <v>105</v>
      </c>
      <c r="V43" s="1">
        <v>45604</v>
      </c>
      <c r="W43" t="s">
        <v>49</v>
      </c>
      <c r="AB43" s="2">
        <f t="shared" si="0"/>
        <v>1</v>
      </c>
      <c r="AC43">
        <f t="shared" si="1"/>
        <v>0</v>
      </c>
      <c r="AD43">
        <f t="shared" si="2"/>
        <v>2</v>
      </c>
      <c r="AE43" t="str">
        <f t="shared" si="3"/>
        <v>OK</v>
      </c>
      <c r="AF43" t="str">
        <f t="shared" si="4"/>
        <v>OK</v>
      </c>
      <c r="AG43" t="str">
        <f t="shared" si="5"/>
        <v>OK</v>
      </c>
      <c r="AI43" t="str">
        <f t="shared" si="6"/>
        <v>ERROR</v>
      </c>
      <c r="AJ43" t="str">
        <f t="shared" si="7"/>
        <v>OK</v>
      </c>
      <c r="AK43" t="str">
        <f t="shared" si="8"/>
        <v>OK</v>
      </c>
      <c r="AL43" t="str">
        <f t="shared" si="9"/>
        <v>OK</v>
      </c>
      <c r="AM43" t="str">
        <f t="shared" si="10"/>
        <v>OK</v>
      </c>
      <c r="AN43" t="str">
        <f t="shared" si="11"/>
        <v>OK</v>
      </c>
      <c r="AO43" t="str">
        <f t="shared" si="12"/>
        <v>OK</v>
      </c>
      <c r="AP43" t="str">
        <f t="shared" si="13"/>
        <v>OK</v>
      </c>
      <c r="AQ43" t="str">
        <f t="shared" si="14"/>
        <v>OK</v>
      </c>
    </row>
    <row r="44" spans="1:43" x14ac:dyDescent="0.3">
      <c r="A44" t="s">
        <v>264</v>
      </c>
      <c r="B44" s="1">
        <v>45575</v>
      </c>
      <c r="C44" t="s">
        <v>265</v>
      </c>
      <c r="D44" t="s">
        <v>25</v>
      </c>
      <c r="E44" t="s">
        <v>266</v>
      </c>
      <c r="F44" t="s">
        <v>62</v>
      </c>
      <c r="G44" t="s">
        <v>267</v>
      </c>
      <c r="H44">
        <v>2499</v>
      </c>
      <c r="I44">
        <v>1</v>
      </c>
      <c r="J44">
        <v>2499</v>
      </c>
      <c r="K44" t="s">
        <v>29</v>
      </c>
      <c r="L44">
        <v>0</v>
      </c>
      <c r="M44" t="s">
        <v>112</v>
      </c>
      <c r="N44" t="s">
        <v>31</v>
      </c>
      <c r="O44" t="s">
        <v>119</v>
      </c>
      <c r="P44" t="s">
        <v>120</v>
      </c>
      <c r="Q44" t="s">
        <v>46</v>
      </c>
      <c r="R44" s="1">
        <v>45585</v>
      </c>
      <c r="S44" t="s">
        <v>34</v>
      </c>
      <c r="T44" t="s">
        <v>35</v>
      </c>
      <c r="U44" t="s">
        <v>29</v>
      </c>
      <c r="V44" s="1"/>
      <c r="W44" t="s">
        <v>36</v>
      </c>
      <c r="AB44" s="2">
        <f t="shared" si="0"/>
        <v>1</v>
      </c>
      <c r="AC44">
        <f t="shared" si="1"/>
        <v>0</v>
      </c>
      <c r="AD44">
        <f t="shared" si="2"/>
        <v>2</v>
      </c>
      <c r="AE44" t="str">
        <f t="shared" si="3"/>
        <v>OK</v>
      </c>
      <c r="AF44" t="str">
        <f t="shared" si="4"/>
        <v>OK</v>
      </c>
      <c r="AG44" t="str">
        <f t="shared" si="5"/>
        <v>OK</v>
      </c>
      <c r="AI44" t="str">
        <f t="shared" si="6"/>
        <v>ERROR</v>
      </c>
      <c r="AJ44" t="str">
        <f t="shared" si="7"/>
        <v>OK</v>
      </c>
      <c r="AK44" t="str">
        <f t="shared" si="8"/>
        <v>OK</v>
      </c>
      <c r="AL44" t="str">
        <f t="shared" si="9"/>
        <v>OK</v>
      </c>
      <c r="AM44" t="str">
        <f t="shared" si="10"/>
        <v>ERROR</v>
      </c>
      <c r="AN44" t="str">
        <f t="shared" si="11"/>
        <v>OK</v>
      </c>
      <c r="AO44" t="str">
        <f t="shared" si="12"/>
        <v>OK</v>
      </c>
      <c r="AP44" t="str">
        <f t="shared" si="13"/>
        <v>OK</v>
      </c>
      <c r="AQ44" t="str">
        <f t="shared" si="14"/>
        <v>OK</v>
      </c>
    </row>
    <row r="45" spans="1:43" x14ac:dyDescent="0.3">
      <c r="A45" t="s">
        <v>268</v>
      </c>
      <c r="B45" s="1">
        <v>45576</v>
      </c>
      <c r="C45" t="s">
        <v>269</v>
      </c>
      <c r="D45" t="s">
        <v>25</v>
      </c>
      <c r="E45" t="s">
        <v>270</v>
      </c>
      <c r="F45" t="s">
        <v>72</v>
      </c>
      <c r="G45" t="s">
        <v>271</v>
      </c>
      <c r="H45">
        <v>1899</v>
      </c>
      <c r="I45">
        <v>1</v>
      </c>
      <c r="J45">
        <v>1899</v>
      </c>
      <c r="K45" t="s">
        <v>29</v>
      </c>
      <c r="L45">
        <v>0</v>
      </c>
      <c r="M45" t="s">
        <v>65</v>
      </c>
      <c r="N45" t="s">
        <v>66</v>
      </c>
      <c r="O45" t="s">
        <v>138</v>
      </c>
      <c r="P45" t="s">
        <v>114</v>
      </c>
      <c r="Q45" t="s">
        <v>46</v>
      </c>
      <c r="R45" s="1">
        <v>45586</v>
      </c>
      <c r="S45" t="s">
        <v>34</v>
      </c>
      <c r="T45" t="s">
        <v>47</v>
      </c>
      <c r="U45" t="s">
        <v>139</v>
      </c>
      <c r="V45" s="1">
        <v>45608</v>
      </c>
      <c r="W45" t="s">
        <v>49</v>
      </c>
      <c r="AB45" s="2">
        <f t="shared" si="0"/>
        <v>1</v>
      </c>
      <c r="AC45">
        <f t="shared" si="1"/>
        <v>0</v>
      </c>
      <c r="AD45">
        <f t="shared" si="2"/>
        <v>2</v>
      </c>
      <c r="AE45" t="str">
        <f t="shared" si="3"/>
        <v>OK</v>
      </c>
      <c r="AF45" t="str">
        <f t="shared" si="4"/>
        <v>OK</v>
      </c>
      <c r="AG45" t="str">
        <f t="shared" si="5"/>
        <v>OK</v>
      </c>
      <c r="AI45" t="str">
        <f t="shared" si="6"/>
        <v>ERROR</v>
      </c>
      <c r="AJ45" t="str">
        <f t="shared" si="7"/>
        <v>OK</v>
      </c>
      <c r="AK45" t="str">
        <f t="shared" si="8"/>
        <v>OK</v>
      </c>
      <c r="AL45" t="str">
        <f t="shared" si="9"/>
        <v>OK</v>
      </c>
      <c r="AM45" t="str">
        <f t="shared" si="10"/>
        <v>OK</v>
      </c>
      <c r="AN45" t="str">
        <f t="shared" si="11"/>
        <v>OK</v>
      </c>
      <c r="AO45" t="str">
        <f t="shared" si="12"/>
        <v>OK</v>
      </c>
      <c r="AP45" t="str">
        <f t="shared" si="13"/>
        <v>OK</v>
      </c>
      <c r="AQ45" t="str">
        <f t="shared" si="14"/>
        <v>OK</v>
      </c>
    </row>
    <row r="46" spans="1:43" x14ac:dyDescent="0.3">
      <c r="A46" t="s">
        <v>272</v>
      </c>
      <c r="B46" s="1">
        <v>45576</v>
      </c>
      <c r="C46" t="s">
        <v>273</v>
      </c>
      <c r="D46" t="s">
        <v>25</v>
      </c>
      <c r="E46" t="s">
        <v>274</v>
      </c>
      <c r="F46" t="s">
        <v>54</v>
      </c>
      <c r="G46" t="s">
        <v>275</v>
      </c>
      <c r="H46">
        <v>1999</v>
      </c>
      <c r="I46">
        <v>1</v>
      </c>
      <c r="J46">
        <v>1999</v>
      </c>
      <c r="K46" t="s">
        <v>64</v>
      </c>
      <c r="L46">
        <v>15</v>
      </c>
      <c r="M46" t="s">
        <v>30</v>
      </c>
      <c r="N46" t="s">
        <v>45</v>
      </c>
      <c r="O46" t="s">
        <v>144</v>
      </c>
      <c r="P46" t="s">
        <v>145</v>
      </c>
      <c r="Q46" t="s">
        <v>46</v>
      </c>
      <c r="R46" s="1">
        <v>45584</v>
      </c>
      <c r="S46" t="s">
        <v>34</v>
      </c>
      <c r="T46" t="s">
        <v>35</v>
      </c>
      <c r="U46" t="s">
        <v>29</v>
      </c>
      <c r="V46" s="1"/>
      <c r="W46" t="s">
        <v>36</v>
      </c>
      <c r="AB46" s="2">
        <f t="shared" si="0"/>
        <v>1</v>
      </c>
      <c r="AC46">
        <f t="shared" si="1"/>
        <v>0</v>
      </c>
      <c r="AD46">
        <f t="shared" si="2"/>
        <v>2</v>
      </c>
      <c r="AE46" t="str">
        <f t="shared" si="3"/>
        <v>OK</v>
      </c>
      <c r="AF46" t="str">
        <f t="shared" si="4"/>
        <v>OK</v>
      </c>
      <c r="AG46" t="str">
        <f t="shared" si="5"/>
        <v>OK</v>
      </c>
      <c r="AI46" t="str">
        <f t="shared" si="6"/>
        <v>ERROR</v>
      </c>
      <c r="AJ46" t="str">
        <f t="shared" si="7"/>
        <v>OK</v>
      </c>
      <c r="AK46" t="str">
        <f t="shared" si="8"/>
        <v>OK</v>
      </c>
      <c r="AL46" t="str">
        <f t="shared" si="9"/>
        <v>OK</v>
      </c>
      <c r="AM46" t="str">
        <f t="shared" si="10"/>
        <v>ERROR</v>
      </c>
      <c r="AN46" t="str">
        <f t="shared" si="11"/>
        <v>OK</v>
      </c>
      <c r="AO46" t="str">
        <f t="shared" si="12"/>
        <v>OK</v>
      </c>
      <c r="AP46" t="str">
        <f t="shared" si="13"/>
        <v>OK</v>
      </c>
      <c r="AQ46" t="str">
        <f t="shared" si="14"/>
        <v>OK</v>
      </c>
    </row>
    <row r="47" spans="1:43" x14ac:dyDescent="0.3">
      <c r="A47" t="s">
        <v>276</v>
      </c>
      <c r="B47" s="1">
        <v>45576</v>
      </c>
      <c r="C47" t="s">
        <v>277</v>
      </c>
      <c r="D47" t="s">
        <v>39</v>
      </c>
      <c r="E47" t="s">
        <v>278</v>
      </c>
      <c r="F47" t="s">
        <v>41</v>
      </c>
      <c r="G47" t="s">
        <v>279</v>
      </c>
      <c r="H47">
        <v>2599</v>
      </c>
      <c r="I47">
        <v>1</v>
      </c>
      <c r="J47">
        <v>2599</v>
      </c>
      <c r="K47" t="s">
        <v>29</v>
      </c>
      <c r="L47">
        <v>0</v>
      </c>
      <c r="M47" t="s">
        <v>44</v>
      </c>
      <c r="N47" t="s">
        <v>31</v>
      </c>
      <c r="O47" t="s">
        <v>151</v>
      </c>
      <c r="P47" t="s">
        <v>152</v>
      </c>
      <c r="Q47" t="s">
        <v>32</v>
      </c>
      <c r="R47" s="1">
        <v>45585</v>
      </c>
      <c r="S47" t="s">
        <v>34</v>
      </c>
      <c r="T47" t="s">
        <v>35</v>
      </c>
      <c r="U47" t="s">
        <v>29</v>
      </c>
      <c r="V47" s="1"/>
      <c r="W47" t="s">
        <v>36</v>
      </c>
      <c r="AB47" s="2">
        <f t="shared" si="0"/>
        <v>1</v>
      </c>
      <c r="AC47">
        <f t="shared" si="1"/>
        <v>0</v>
      </c>
      <c r="AD47">
        <f t="shared" si="2"/>
        <v>2</v>
      </c>
      <c r="AE47" t="str">
        <f t="shared" si="3"/>
        <v>OK</v>
      </c>
      <c r="AF47" t="str">
        <f t="shared" si="4"/>
        <v>OK</v>
      </c>
      <c r="AG47" t="str">
        <f t="shared" si="5"/>
        <v>OK</v>
      </c>
      <c r="AI47" t="str">
        <f t="shared" si="6"/>
        <v>ERROR</v>
      </c>
      <c r="AJ47" t="str">
        <f t="shared" si="7"/>
        <v>OK</v>
      </c>
      <c r="AK47" t="str">
        <f t="shared" si="8"/>
        <v>OK</v>
      </c>
      <c r="AL47" t="str">
        <f t="shared" si="9"/>
        <v>OK</v>
      </c>
      <c r="AM47" t="str">
        <f t="shared" si="10"/>
        <v>ERROR</v>
      </c>
      <c r="AN47" t="str">
        <f t="shared" si="11"/>
        <v>OK</v>
      </c>
      <c r="AO47" t="str">
        <f t="shared" si="12"/>
        <v>OK</v>
      </c>
      <c r="AP47" t="str">
        <f t="shared" si="13"/>
        <v>OK</v>
      </c>
      <c r="AQ47" t="str">
        <f t="shared" si="14"/>
        <v>OK</v>
      </c>
    </row>
    <row r="48" spans="1:43" x14ac:dyDescent="0.3">
      <c r="A48" t="s">
        <v>280</v>
      </c>
      <c r="B48" s="1">
        <v>45576</v>
      </c>
      <c r="C48" t="s">
        <v>281</v>
      </c>
      <c r="D48" t="s">
        <v>25</v>
      </c>
      <c r="E48" t="s">
        <v>282</v>
      </c>
      <c r="F48" t="s">
        <v>27</v>
      </c>
      <c r="G48" t="s">
        <v>283</v>
      </c>
      <c r="H48">
        <v>1299</v>
      </c>
      <c r="I48">
        <v>1</v>
      </c>
      <c r="J48">
        <v>1299</v>
      </c>
      <c r="K48" t="s">
        <v>29</v>
      </c>
      <c r="L48">
        <v>0</v>
      </c>
      <c r="M48" t="s">
        <v>56</v>
      </c>
      <c r="N48" t="s">
        <v>66</v>
      </c>
      <c r="O48" t="s">
        <v>157</v>
      </c>
      <c r="P48" t="s">
        <v>98</v>
      </c>
      <c r="Q48" t="s">
        <v>32</v>
      </c>
      <c r="R48" s="1"/>
      <c r="S48" t="s">
        <v>121</v>
      </c>
      <c r="T48" t="s">
        <v>35</v>
      </c>
      <c r="U48" t="s">
        <v>29</v>
      </c>
      <c r="V48" s="1"/>
      <c r="W48" t="s">
        <v>36</v>
      </c>
      <c r="AB48" s="2">
        <f t="shared" si="0"/>
        <v>1</v>
      </c>
      <c r="AC48">
        <f t="shared" si="1"/>
        <v>0</v>
      </c>
      <c r="AD48">
        <f t="shared" si="2"/>
        <v>2</v>
      </c>
      <c r="AE48" t="str">
        <f t="shared" si="3"/>
        <v>OK</v>
      </c>
      <c r="AF48" t="str">
        <f t="shared" si="4"/>
        <v>OK</v>
      </c>
      <c r="AG48" t="str">
        <f t="shared" si="5"/>
        <v>OK</v>
      </c>
      <c r="AI48" t="str">
        <f t="shared" si="6"/>
        <v>ERROR</v>
      </c>
      <c r="AJ48" t="str">
        <f t="shared" si="7"/>
        <v>ERROR</v>
      </c>
      <c r="AK48" t="str">
        <f t="shared" si="8"/>
        <v>OK</v>
      </c>
      <c r="AL48" t="str">
        <f t="shared" si="9"/>
        <v>OK</v>
      </c>
      <c r="AM48" t="str">
        <f t="shared" si="10"/>
        <v>OK</v>
      </c>
      <c r="AN48" t="str">
        <f t="shared" si="11"/>
        <v>OK</v>
      </c>
      <c r="AO48" t="str">
        <f t="shared" si="12"/>
        <v>OK</v>
      </c>
      <c r="AP48" t="str">
        <f t="shared" si="13"/>
        <v>OK</v>
      </c>
      <c r="AQ48" t="str">
        <f t="shared" si="14"/>
        <v>OK</v>
      </c>
    </row>
    <row r="49" spans="1:43" x14ac:dyDescent="0.3">
      <c r="A49" t="s">
        <v>284</v>
      </c>
      <c r="B49" s="1">
        <v>45577</v>
      </c>
      <c r="C49" t="s">
        <v>285</v>
      </c>
      <c r="D49" t="s">
        <v>25</v>
      </c>
      <c r="E49" t="s">
        <v>286</v>
      </c>
      <c r="F49" t="s">
        <v>62</v>
      </c>
      <c r="G49" t="s">
        <v>287</v>
      </c>
      <c r="H49">
        <v>5999</v>
      </c>
      <c r="I49">
        <v>1</v>
      </c>
      <c r="J49">
        <v>5999</v>
      </c>
      <c r="K49" t="s">
        <v>43</v>
      </c>
      <c r="L49">
        <v>20</v>
      </c>
      <c r="M49" t="s">
        <v>44</v>
      </c>
      <c r="N49" t="s">
        <v>45</v>
      </c>
      <c r="O49" t="s">
        <v>162</v>
      </c>
      <c r="P49" t="s">
        <v>163</v>
      </c>
      <c r="Q49" t="s">
        <v>46</v>
      </c>
      <c r="R49" s="1">
        <v>45587</v>
      </c>
      <c r="S49" t="s">
        <v>34</v>
      </c>
      <c r="T49" t="s">
        <v>47</v>
      </c>
      <c r="U49" t="s">
        <v>48</v>
      </c>
      <c r="V49" s="1">
        <v>45611</v>
      </c>
      <c r="W49" t="s">
        <v>49</v>
      </c>
      <c r="AB49" s="2">
        <f t="shared" si="0"/>
        <v>1</v>
      </c>
      <c r="AC49">
        <f t="shared" si="1"/>
        <v>0</v>
      </c>
      <c r="AD49">
        <f t="shared" si="2"/>
        <v>2</v>
      </c>
      <c r="AE49" t="str">
        <f t="shared" si="3"/>
        <v>OK</v>
      </c>
      <c r="AF49" t="str">
        <f t="shared" si="4"/>
        <v>OK</v>
      </c>
      <c r="AG49" t="str">
        <f t="shared" si="5"/>
        <v>OK</v>
      </c>
      <c r="AI49" t="str">
        <f t="shared" si="6"/>
        <v>ERROR</v>
      </c>
      <c r="AJ49" t="str">
        <f t="shared" si="7"/>
        <v>OK</v>
      </c>
      <c r="AK49" t="str">
        <f t="shared" si="8"/>
        <v>OK</v>
      </c>
      <c r="AL49" t="str">
        <f t="shared" si="9"/>
        <v>OK</v>
      </c>
      <c r="AM49" t="str">
        <f t="shared" si="10"/>
        <v>OK</v>
      </c>
      <c r="AN49" t="str">
        <f t="shared" si="11"/>
        <v>OK</v>
      </c>
      <c r="AO49" t="str">
        <f t="shared" si="12"/>
        <v>OK</v>
      </c>
      <c r="AP49" t="str">
        <f t="shared" si="13"/>
        <v>OK</v>
      </c>
      <c r="AQ49" t="str">
        <f t="shared" si="14"/>
        <v>OK</v>
      </c>
    </row>
    <row r="50" spans="1:43" x14ac:dyDescent="0.3">
      <c r="A50" t="s">
        <v>288</v>
      </c>
      <c r="B50" s="1">
        <v>45577</v>
      </c>
      <c r="C50" t="s">
        <v>289</v>
      </c>
      <c r="D50" t="s">
        <v>25</v>
      </c>
      <c r="E50" t="s">
        <v>290</v>
      </c>
      <c r="F50" t="s">
        <v>72</v>
      </c>
      <c r="G50" t="s">
        <v>291</v>
      </c>
      <c r="H50">
        <v>799</v>
      </c>
      <c r="I50">
        <v>2</v>
      </c>
      <c r="J50">
        <v>1598</v>
      </c>
      <c r="K50" t="s">
        <v>29</v>
      </c>
      <c r="L50">
        <v>0</v>
      </c>
      <c r="M50" t="s">
        <v>30</v>
      </c>
      <c r="N50" t="s">
        <v>31</v>
      </c>
      <c r="O50" t="s">
        <v>168</v>
      </c>
      <c r="P50" t="s">
        <v>152</v>
      </c>
      <c r="Q50" t="s">
        <v>32</v>
      </c>
      <c r="R50" s="1">
        <v>45585</v>
      </c>
      <c r="S50" t="s">
        <v>34</v>
      </c>
      <c r="T50" t="s">
        <v>35</v>
      </c>
      <c r="U50" t="s">
        <v>29</v>
      </c>
      <c r="V50" s="1"/>
      <c r="W50" t="s">
        <v>36</v>
      </c>
      <c r="AB50" s="2">
        <f t="shared" si="0"/>
        <v>1</v>
      </c>
      <c r="AC50">
        <f t="shared" si="1"/>
        <v>0</v>
      </c>
      <c r="AD50">
        <f t="shared" si="2"/>
        <v>2</v>
      </c>
      <c r="AE50" t="str">
        <f t="shared" si="3"/>
        <v>OK</v>
      </c>
      <c r="AF50" t="str">
        <f t="shared" si="4"/>
        <v>OK</v>
      </c>
      <c r="AG50" t="str">
        <f t="shared" si="5"/>
        <v>OK</v>
      </c>
      <c r="AI50" t="str">
        <f t="shared" si="6"/>
        <v>ERROR</v>
      </c>
      <c r="AJ50" t="str">
        <f t="shared" si="7"/>
        <v>OK</v>
      </c>
      <c r="AK50" t="str">
        <f t="shared" si="8"/>
        <v>OK</v>
      </c>
      <c r="AL50" t="str">
        <f t="shared" si="9"/>
        <v>OK</v>
      </c>
      <c r="AM50" t="str">
        <f t="shared" si="10"/>
        <v>ERROR</v>
      </c>
      <c r="AN50" t="str">
        <f t="shared" si="11"/>
        <v>OK</v>
      </c>
      <c r="AO50" t="str">
        <f t="shared" si="12"/>
        <v>OK</v>
      </c>
      <c r="AP50" t="str">
        <f t="shared" si="13"/>
        <v>OK</v>
      </c>
      <c r="AQ50" t="str">
        <f t="shared" si="14"/>
        <v>OK</v>
      </c>
    </row>
    <row r="51" spans="1:43" x14ac:dyDescent="0.3">
      <c r="A51" t="s">
        <v>292</v>
      </c>
      <c r="B51" s="1">
        <v>45577</v>
      </c>
      <c r="C51" t="s">
        <v>293</v>
      </c>
      <c r="D51" t="s">
        <v>39</v>
      </c>
      <c r="E51" t="s">
        <v>294</v>
      </c>
      <c r="F51" t="s">
        <v>54</v>
      </c>
      <c r="G51" t="s">
        <v>295</v>
      </c>
      <c r="H51">
        <v>999</v>
      </c>
      <c r="I51">
        <v>2</v>
      </c>
      <c r="J51">
        <v>1998</v>
      </c>
      <c r="K51" t="s">
        <v>29</v>
      </c>
      <c r="L51">
        <v>0</v>
      </c>
      <c r="M51" t="s">
        <v>112</v>
      </c>
      <c r="N51" t="s">
        <v>45</v>
      </c>
      <c r="O51" t="s">
        <v>173</v>
      </c>
      <c r="P51" t="s">
        <v>33</v>
      </c>
      <c r="Q51" t="s">
        <v>32</v>
      </c>
      <c r="R51" s="1">
        <v>45584</v>
      </c>
      <c r="S51" t="s">
        <v>34</v>
      </c>
      <c r="T51" t="s">
        <v>35</v>
      </c>
      <c r="U51" t="s">
        <v>29</v>
      </c>
      <c r="V51" s="1"/>
      <c r="W51" t="s">
        <v>36</v>
      </c>
      <c r="AB51" s="2">
        <f t="shared" si="0"/>
        <v>1</v>
      </c>
      <c r="AC51">
        <f t="shared" si="1"/>
        <v>0</v>
      </c>
      <c r="AD51">
        <f t="shared" si="2"/>
        <v>2</v>
      </c>
      <c r="AE51" t="str">
        <f t="shared" si="3"/>
        <v>OK</v>
      </c>
      <c r="AF51" t="str">
        <f>IF(OR(H51&lt;=0,H51&gt;10000),"FLAG","OK")</f>
        <v>OK</v>
      </c>
      <c r="AG51" t="str">
        <f t="shared" si="5"/>
        <v>OK</v>
      </c>
      <c r="AI51" t="str">
        <f t="shared" si="6"/>
        <v>ERROR</v>
      </c>
      <c r="AJ51" t="str">
        <f t="shared" si="7"/>
        <v>OK</v>
      </c>
      <c r="AK51" t="str">
        <f t="shared" si="8"/>
        <v>OK</v>
      </c>
      <c r="AL51" t="str">
        <f t="shared" si="9"/>
        <v>OK</v>
      </c>
      <c r="AM51" t="str">
        <f t="shared" si="10"/>
        <v>ERROR</v>
      </c>
      <c r="AN51" t="str">
        <f t="shared" si="11"/>
        <v>OK</v>
      </c>
      <c r="AO51" t="str">
        <f t="shared" si="12"/>
        <v>OK</v>
      </c>
      <c r="AP51" t="str">
        <f t="shared" si="13"/>
        <v>OK</v>
      </c>
      <c r="AQ51" t="str">
        <f t="shared" si="14"/>
        <v>OK</v>
      </c>
    </row>
    <row r="52" spans="1:43" x14ac:dyDescent="0.3">
      <c r="A52" t="s">
        <v>296</v>
      </c>
      <c r="B52" s="1">
        <v>45577</v>
      </c>
      <c r="C52" t="s">
        <v>297</v>
      </c>
      <c r="D52" t="s">
        <v>25</v>
      </c>
      <c r="E52" t="s">
        <v>298</v>
      </c>
      <c r="F52" t="s">
        <v>41</v>
      </c>
      <c r="G52" t="s">
        <v>299</v>
      </c>
      <c r="H52">
        <v>1899</v>
      </c>
      <c r="I52">
        <v>1</v>
      </c>
      <c r="J52">
        <v>1899</v>
      </c>
      <c r="K52" t="s">
        <v>29</v>
      </c>
      <c r="L52">
        <v>0</v>
      </c>
      <c r="M52" t="s">
        <v>65</v>
      </c>
      <c r="N52" t="s">
        <v>66</v>
      </c>
      <c r="O52" t="s">
        <v>178</v>
      </c>
      <c r="P52" t="s">
        <v>68</v>
      </c>
      <c r="Q52" t="s">
        <v>57</v>
      </c>
      <c r="R52" s="1">
        <v>45587</v>
      </c>
      <c r="S52" t="s">
        <v>34</v>
      </c>
      <c r="T52" t="s">
        <v>47</v>
      </c>
      <c r="U52" t="s">
        <v>69</v>
      </c>
      <c r="V52" s="1">
        <v>45610</v>
      </c>
      <c r="W52" t="s">
        <v>49</v>
      </c>
      <c r="AB52" s="2">
        <f t="shared" si="0"/>
        <v>1</v>
      </c>
      <c r="AC52">
        <f t="shared" si="1"/>
        <v>0</v>
      </c>
      <c r="AD52">
        <f t="shared" si="2"/>
        <v>2</v>
      </c>
      <c r="AE52" t="str">
        <f t="shared" si="3"/>
        <v>OK</v>
      </c>
      <c r="AF52" t="str">
        <f t="shared" si="4"/>
        <v>OK</v>
      </c>
      <c r="AG52" t="str">
        <f t="shared" si="5"/>
        <v>OK</v>
      </c>
      <c r="AI52" t="str">
        <f t="shared" si="6"/>
        <v>ERROR</v>
      </c>
      <c r="AJ52" t="str">
        <f t="shared" si="7"/>
        <v>OK</v>
      </c>
      <c r="AK52" t="str">
        <f t="shared" si="8"/>
        <v>OK</v>
      </c>
      <c r="AL52" t="str">
        <f t="shared" si="9"/>
        <v>OK</v>
      </c>
      <c r="AM52" t="str">
        <f t="shared" si="10"/>
        <v>OK</v>
      </c>
      <c r="AN52" t="str">
        <f t="shared" si="11"/>
        <v>OK</v>
      </c>
      <c r="AO52" t="str">
        <f t="shared" si="12"/>
        <v>OK</v>
      </c>
      <c r="AP52" t="str">
        <f t="shared" si="13"/>
        <v>OK</v>
      </c>
      <c r="AQ52" t="str">
        <f t="shared" si="14"/>
        <v>OK</v>
      </c>
    </row>
    <row r="53" spans="1:43" x14ac:dyDescent="0.3">
      <c r="A53" t="s">
        <v>300</v>
      </c>
      <c r="B53" s="1">
        <v>45578</v>
      </c>
      <c r="C53" t="s">
        <v>301</v>
      </c>
      <c r="D53" t="s">
        <v>25</v>
      </c>
      <c r="E53" t="s">
        <v>302</v>
      </c>
      <c r="F53" t="s">
        <v>27</v>
      </c>
      <c r="G53" t="s">
        <v>303</v>
      </c>
      <c r="H53">
        <v>1699</v>
      </c>
      <c r="I53">
        <v>1</v>
      </c>
      <c r="J53">
        <v>1699</v>
      </c>
      <c r="K53" t="s">
        <v>111</v>
      </c>
      <c r="L53">
        <v>10</v>
      </c>
      <c r="M53" t="s">
        <v>44</v>
      </c>
      <c r="N53" t="s">
        <v>31</v>
      </c>
      <c r="O53" t="s">
        <v>183</v>
      </c>
      <c r="P53" t="s">
        <v>184</v>
      </c>
      <c r="Q53" t="s">
        <v>57</v>
      </c>
      <c r="R53" s="1">
        <v>45586</v>
      </c>
      <c r="S53" t="s">
        <v>34</v>
      </c>
      <c r="T53" t="s">
        <v>35</v>
      </c>
      <c r="U53" t="s">
        <v>29</v>
      </c>
      <c r="V53" s="1"/>
      <c r="W53" t="s">
        <v>36</v>
      </c>
      <c r="AB53" s="2">
        <f t="shared" si="0"/>
        <v>1</v>
      </c>
      <c r="AC53">
        <f t="shared" si="1"/>
        <v>0</v>
      </c>
      <c r="AD53">
        <f t="shared" si="2"/>
        <v>2</v>
      </c>
      <c r="AE53" t="str">
        <f t="shared" si="3"/>
        <v>OK</v>
      </c>
      <c r="AF53" t="str">
        <f t="shared" si="4"/>
        <v>OK</v>
      </c>
      <c r="AG53" t="str">
        <f t="shared" si="5"/>
        <v>OK</v>
      </c>
      <c r="AI53" t="str">
        <f t="shared" si="6"/>
        <v>ERROR</v>
      </c>
      <c r="AJ53" t="str">
        <f t="shared" si="7"/>
        <v>OK</v>
      </c>
      <c r="AK53" t="str">
        <f t="shared" si="8"/>
        <v>OK</v>
      </c>
      <c r="AL53" t="str">
        <f t="shared" si="9"/>
        <v>OK</v>
      </c>
      <c r="AM53" t="str">
        <f t="shared" si="10"/>
        <v>ERROR</v>
      </c>
      <c r="AN53" t="str">
        <f t="shared" si="11"/>
        <v>OK</v>
      </c>
      <c r="AO53" t="str">
        <f t="shared" si="12"/>
        <v>OK</v>
      </c>
      <c r="AP53" t="str">
        <f t="shared" si="13"/>
        <v>OK</v>
      </c>
      <c r="AQ53" t="str">
        <f t="shared" si="14"/>
        <v>OK</v>
      </c>
    </row>
    <row r="54" spans="1:43" x14ac:dyDescent="0.3">
      <c r="A54" t="s">
        <v>304</v>
      </c>
      <c r="B54" s="1">
        <v>45578</v>
      </c>
      <c r="C54" t="s">
        <v>305</v>
      </c>
      <c r="D54" t="s">
        <v>25</v>
      </c>
      <c r="E54" t="s">
        <v>306</v>
      </c>
      <c r="F54" t="s">
        <v>62</v>
      </c>
      <c r="G54" t="s">
        <v>307</v>
      </c>
      <c r="H54">
        <v>3799</v>
      </c>
      <c r="I54">
        <v>1</v>
      </c>
      <c r="J54">
        <v>3799</v>
      </c>
      <c r="K54" t="s">
        <v>29</v>
      </c>
      <c r="L54">
        <v>0</v>
      </c>
      <c r="M54" t="s">
        <v>30</v>
      </c>
      <c r="N54" t="s">
        <v>45</v>
      </c>
      <c r="O54" t="s">
        <v>189</v>
      </c>
      <c r="P54" t="s">
        <v>190</v>
      </c>
      <c r="Q54" t="s">
        <v>57</v>
      </c>
      <c r="R54" s="1">
        <v>45588</v>
      </c>
      <c r="S54" t="s">
        <v>34</v>
      </c>
      <c r="T54" t="s">
        <v>47</v>
      </c>
      <c r="U54" t="s">
        <v>48</v>
      </c>
      <c r="V54" s="1">
        <v>45614</v>
      </c>
      <c r="W54" t="s">
        <v>49</v>
      </c>
      <c r="AB54" s="2">
        <f t="shared" si="0"/>
        <v>1</v>
      </c>
      <c r="AC54">
        <f t="shared" si="1"/>
        <v>0</v>
      </c>
      <c r="AD54">
        <f t="shared" si="2"/>
        <v>2</v>
      </c>
      <c r="AE54" t="str">
        <f t="shared" si="3"/>
        <v>OK</v>
      </c>
      <c r="AF54" t="str">
        <f t="shared" si="4"/>
        <v>OK</v>
      </c>
      <c r="AG54" t="str">
        <f t="shared" si="5"/>
        <v>OK</v>
      </c>
      <c r="AI54" t="str">
        <f t="shared" si="6"/>
        <v>ERROR</v>
      </c>
      <c r="AJ54" t="str">
        <f t="shared" si="7"/>
        <v>OK</v>
      </c>
      <c r="AK54" t="str">
        <f t="shared" si="8"/>
        <v>OK</v>
      </c>
      <c r="AL54" t="str">
        <f t="shared" si="9"/>
        <v>OK</v>
      </c>
      <c r="AM54" t="str">
        <f t="shared" si="10"/>
        <v>OK</v>
      </c>
      <c r="AN54" t="str">
        <f t="shared" si="11"/>
        <v>OK</v>
      </c>
      <c r="AO54" t="str">
        <f t="shared" si="12"/>
        <v>OK</v>
      </c>
      <c r="AP54" t="str">
        <f t="shared" si="13"/>
        <v>OK</v>
      </c>
      <c r="AQ54" t="str">
        <f t="shared" si="14"/>
        <v>OK</v>
      </c>
    </row>
    <row r="55" spans="1:43" x14ac:dyDescent="0.3">
      <c r="A55" t="s">
        <v>308</v>
      </c>
      <c r="B55" s="1">
        <v>45578</v>
      </c>
      <c r="C55" t="s">
        <v>309</v>
      </c>
      <c r="D55" t="s">
        <v>39</v>
      </c>
      <c r="E55" t="s">
        <v>310</v>
      </c>
      <c r="F55" t="s">
        <v>72</v>
      </c>
      <c r="G55" t="s">
        <v>311</v>
      </c>
      <c r="H55">
        <v>1299</v>
      </c>
      <c r="I55">
        <v>1</v>
      </c>
      <c r="J55">
        <v>1299</v>
      </c>
      <c r="K55" t="s">
        <v>29</v>
      </c>
      <c r="L55">
        <v>0</v>
      </c>
      <c r="M55" t="s">
        <v>56</v>
      </c>
      <c r="N55" t="s">
        <v>66</v>
      </c>
      <c r="O55" t="s">
        <v>195</v>
      </c>
      <c r="P55" t="s">
        <v>184</v>
      </c>
      <c r="Q55" t="s">
        <v>57</v>
      </c>
      <c r="R55" s="1">
        <v>45587</v>
      </c>
      <c r="S55" t="s">
        <v>34</v>
      </c>
      <c r="T55" t="s">
        <v>35</v>
      </c>
      <c r="U55" t="s">
        <v>29</v>
      </c>
      <c r="V55" s="1"/>
      <c r="W55" t="s">
        <v>36</v>
      </c>
      <c r="AB55" s="2">
        <f t="shared" si="0"/>
        <v>1</v>
      </c>
      <c r="AC55">
        <f t="shared" si="1"/>
        <v>0</v>
      </c>
      <c r="AD55">
        <f t="shared" si="2"/>
        <v>2</v>
      </c>
      <c r="AE55" t="str">
        <f t="shared" si="3"/>
        <v>OK</v>
      </c>
      <c r="AF55" t="str">
        <f t="shared" si="4"/>
        <v>OK</v>
      </c>
      <c r="AG55" t="str">
        <f t="shared" si="5"/>
        <v>OK</v>
      </c>
      <c r="AI55" t="str">
        <f t="shared" si="6"/>
        <v>ERROR</v>
      </c>
      <c r="AJ55" t="str">
        <f t="shared" si="7"/>
        <v>OK</v>
      </c>
      <c r="AK55" t="str">
        <f t="shared" si="8"/>
        <v>OK</v>
      </c>
      <c r="AL55" t="str">
        <f t="shared" si="9"/>
        <v>OK</v>
      </c>
      <c r="AM55" t="str">
        <f t="shared" si="10"/>
        <v>ERROR</v>
      </c>
      <c r="AN55" t="str">
        <f t="shared" si="11"/>
        <v>OK</v>
      </c>
      <c r="AO55" t="str">
        <f t="shared" si="12"/>
        <v>OK</v>
      </c>
      <c r="AP55" t="str">
        <f t="shared" si="13"/>
        <v>OK</v>
      </c>
      <c r="AQ55" t="str">
        <f t="shared" si="14"/>
        <v>OK</v>
      </c>
    </row>
    <row r="56" spans="1:43" x14ac:dyDescent="0.3">
      <c r="A56" t="s">
        <v>312</v>
      </c>
      <c r="B56" s="1">
        <v>45578</v>
      </c>
      <c r="C56" t="s">
        <v>313</v>
      </c>
      <c r="D56" t="s">
        <v>25</v>
      </c>
      <c r="E56" t="s">
        <v>314</v>
      </c>
      <c r="F56" t="s">
        <v>54</v>
      </c>
      <c r="G56" t="s">
        <v>315</v>
      </c>
      <c r="H56">
        <v>2099</v>
      </c>
      <c r="I56">
        <v>1</v>
      </c>
      <c r="J56">
        <v>2099</v>
      </c>
      <c r="K56" t="s">
        <v>43</v>
      </c>
      <c r="L56">
        <v>20</v>
      </c>
      <c r="M56" t="s">
        <v>44</v>
      </c>
      <c r="N56" t="s">
        <v>31</v>
      </c>
      <c r="O56" t="s">
        <v>200</v>
      </c>
      <c r="P56" t="s">
        <v>58</v>
      </c>
      <c r="Q56" t="s">
        <v>57</v>
      </c>
      <c r="R56" s="1">
        <v>45589</v>
      </c>
      <c r="S56" t="s">
        <v>34</v>
      </c>
      <c r="T56" t="s">
        <v>35</v>
      </c>
      <c r="U56" t="s">
        <v>29</v>
      </c>
      <c r="V56" s="1"/>
      <c r="W56" t="s">
        <v>36</v>
      </c>
      <c r="AB56" s="2">
        <f t="shared" si="0"/>
        <v>1</v>
      </c>
      <c r="AC56">
        <f t="shared" si="1"/>
        <v>0</v>
      </c>
      <c r="AD56">
        <f t="shared" si="2"/>
        <v>2</v>
      </c>
      <c r="AE56" t="str">
        <f t="shared" si="3"/>
        <v>OK</v>
      </c>
      <c r="AF56" t="str">
        <f t="shared" si="4"/>
        <v>OK</v>
      </c>
      <c r="AG56" t="str">
        <f t="shared" si="5"/>
        <v>OK</v>
      </c>
      <c r="AI56" t="str">
        <f t="shared" si="6"/>
        <v>ERROR</v>
      </c>
      <c r="AJ56" t="str">
        <f t="shared" si="7"/>
        <v>OK</v>
      </c>
      <c r="AK56" t="str">
        <f t="shared" si="8"/>
        <v>OK</v>
      </c>
      <c r="AL56" t="str">
        <f t="shared" si="9"/>
        <v>OK</v>
      </c>
      <c r="AM56" t="str">
        <f t="shared" si="10"/>
        <v>ERROR</v>
      </c>
      <c r="AN56" t="str">
        <f t="shared" si="11"/>
        <v>OK</v>
      </c>
      <c r="AO56" t="str">
        <f t="shared" si="12"/>
        <v>OK</v>
      </c>
      <c r="AP56" t="str">
        <f t="shared" si="13"/>
        <v>OK</v>
      </c>
      <c r="AQ56" t="str">
        <f t="shared" si="14"/>
        <v>OK</v>
      </c>
    </row>
    <row r="57" spans="1:43" x14ac:dyDescent="0.3">
      <c r="A57" t="s">
        <v>316</v>
      </c>
      <c r="B57" s="1">
        <v>45579</v>
      </c>
      <c r="C57" t="s">
        <v>317</v>
      </c>
      <c r="D57" t="s">
        <v>25</v>
      </c>
      <c r="E57" t="s">
        <v>318</v>
      </c>
      <c r="F57" t="s">
        <v>41</v>
      </c>
      <c r="G57" t="s">
        <v>319</v>
      </c>
      <c r="H57">
        <v>2799</v>
      </c>
      <c r="I57">
        <v>1</v>
      </c>
      <c r="J57">
        <v>2799</v>
      </c>
      <c r="K57" t="s">
        <v>29</v>
      </c>
      <c r="L57">
        <v>0</v>
      </c>
      <c r="M57" t="s">
        <v>65</v>
      </c>
      <c r="N57" t="s">
        <v>45</v>
      </c>
      <c r="O57" t="s">
        <v>205</v>
      </c>
      <c r="P57" t="s">
        <v>98</v>
      </c>
      <c r="Q57" t="s">
        <v>32</v>
      </c>
      <c r="R57" s="1">
        <v>45588</v>
      </c>
      <c r="S57" t="s">
        <v>34</v>
      </c>
      <c r="T57" t="s">
        <v>47</v>
      </c>
      <c r="U57" t="s">
        <v>80</v>
      </c>
      <c r="V57" s="1">
        <v>45612</v>
      </c>
      <c r="W57" t="s">
        <v>49</v>
      </c>
      <c r="AB57" s="2">
        <f t="shared" si="0"/>
        <v>1</v>
      </c>
      <c r="AC57">
        <f t="shared" si="1"/>
        <v>0</v>
      </c>
      <c r="AD57">
        <f t="shared" si="2"/>
        <v>2</v>
      </c>
      <c r="AE57" t="str">
        <f t="shared" si="3"/>
        <v>OK</v>
      </c>
      <c r="AF57" t="str">
        <f t="shared" si="4"/>
        <v>OK</v>
      </c>
      <c r="AG57" t="str">
        <f t="shared" si="5"/>
        <v>OK</v>
      </c>
      <c r="AI57" t="str">
        <f t="shared" si="6"/>
        <v>ERROR</v>
      </c>
      <c r="AJ57" t="str">
        <f t="shared" si="7"/>
        <v>OK</v>
      </c>
      <c r="AK57" t="str">
        <f t="shared" si="8"/>
        <v>OK</v>
      </c>
      <c r="AL57" t="str">
        <f t="shared" si="9"/>
        <v>OK</v>
      </c>
      <c r="AM57" t="str">
        <f t="shared" si="10"/>
        <v>OK</v>
      </c>
      <c r="AN57" t="str">
        <f t="shared" si="11"/>
        <v>OK</v>
      </c>
      <c r="AO57" t="str">
        <f t="shared" si="12"/>
        <v>OK</v>
      </c>
      <c r="AP57" t="str">
        <f t="shared" si="13"/>
        <v>OK</v>
      </c>
      <c r="AQ57" t="str">
        <f t="shared" si="14"/>
        <v>OK</v>
      </c>
    </row>
    <row r="58" spans="1:43" x14ac:dyDescent="0.3">
      <c r="A58" t="s">
        <v>320</v>
      </c>
      <c r="B58" s="1">
        <v>45579</v>
      </c>
      <c r="C58" t="s">
        <v>321</v>
      </c>
      <c r="D58" t="s">
        <v>25</v>
      </c>
      <c r="E58" t="s">
        <v>322</v>
      </c>
      <c r="F58" t="s">
        <v>27</v>
      </c>
      <c r="G58" t="s">
        <v>323</v>
      </c>
      <c r="H58">
        <v>1499</v>
      </c>
      <c r="I58">
        <v>1</v>
      </c>
      <c r="J58">
        <v>1499</v>
      </c>
      <c r="K58" t="s">
        <v>29</v>
      </c>
      <c r="L58">
        <v>0</v>
      </c>
      <c r="M58" t="s">
        <v>112</v>
      </c>
      <c r="N58" t="s">
        <v>31</v>
      </c>
      <c r="O58" t="s">
        <v>210</v>
      </c>
      <c r="P58" t="s">
        <v>98</v>
      </c>
      <c r="Q58" t="s">
        <v>32</v>
      </c>
      <c r="R58" s="1">
        <v>45587</v>
      </c>
      <c r="S58" t="s">
        <v>34</v>
      </c>
      <c r="T58" t="s">
        <v>35</v>
      </c>
      <c r="U58" t="s">
        <v>29</v>
      </c>
      <c r="V58" s="1"/>
      <c r="W58" t="s">
        <v>36</v>
      </c>
      <c r="AB58" s="2">
        <f t="shared" si="0"/>
        <v>1</v>
      </c>
      <c r="AC58">
        <f t="shared" si="1"/>
        <v>0</v>
      </c>
      <c r="AD58">
        <f t="shared" si="2"/>
        <v>2</v>
      </c>
      <c r="AE58" t="str">
        <f t="shared" si="3"/>
        <v>OK</v>
      </c>
      <c r="AF58" t="str">
        <f t="shared" si="4"/>
        <v>OK</v>
      </c>
      <c r="AG58" t="str">
        <f t="shared" si="5"/>
        <v>OK</v>
      </c>
      <c r="AI58" t="str">
        <f t="shared" si="6"/>
        <v>ERROR</v>
      </c>
      <c r="AJ58" t="str">
        <f t="shared" si="7"/>
        <v>OK</v>
      </c>
      <c r="AK58" t="str">
        <f t="shared" si="8"/>
        <v>OK</v>
      </c>
      <c r="AL58" t="str">
        <f t="shared" si="9"/>
        <v>OK</v>
      </c>
      <c r="AM58" t="str">
        <f t="shared" si="10"/>
        <v>ERROR</v>
      </c>
      <c r="AN58" t="str">
        <f t="shared" si="11"/>
        <v>OK</v>
      </c>
      <c r="AO58" t="str">
        <f t="shared" si="12"/>
        <v>OK</v>
      </c>
      <c r="AP58" t="str">
        <f t="shared" si="13"/>
        <v>OK</v>
      </c>
      <c r="AQ58" t="str">
        <f t="shared" si="14"/>
        <v>OK</v>
      </c>
    </row>
    <row r="59" spans="1:43" x14ac:dyDescent="0.3">
      <c r="A59" t="s">
        <v>324</v>
      </c>
      <c r="B59" s="1">
        <v>45579</v>
      </c>
      <c r="C59" t="s">
        <v>325</v>
      </c>
      <c r="D59" t="s">
        <v>39</v>
      </c>
      <c r="E59" t="s">
        <v>326</v>
      </c>
      <c r="F59" t="s">
        <v>62</v>
      </c>
      <c r="G59" t="s">
        <v>327</v>
      </c>
      <c r="H59">
        <v>4499</v>
      </c>
      <c r="I59">
        <v>1</v>
      </c>
      <c r="J59">
        <v>4499</v>
      </c>
      <c r="K59" t="s">
        <v>64</v>
      </c>
      <c r="L59">
        <v>15</v>
      </c>
      <c r="M59" t="s">
        <v>30</v>
      </c>
      <c r="N59" t="s">
        <v>66</v>
      </c>
      <c r="O59" t="s">
        <v>215</v>
      </c>
      <c r="P59" t="s">
        <v>114</v>
      </c>
      <c r="Q59" t="s">
        <v>46</v>
      </c>
      <c r="R59" s="1">
        <v>45590</v>
      </c>
      <c r="S59" t="s">
        <v>34</v>
      </c>
      <c r="T59" t="s">
        <v>47</v>
      </c>
      <c r="U59" t="s">
        <v>105</v>
      </c>
      <c r="V59" s="1">
        <v>45616</v>
      </c>
      <c r="W59" t="s">
        <v>49</v>
      </c>
      <c r="AB59" s="2">
        <f t="shared" si="0"/>
        <v>1</v>
      </c>
      <c r="AC59">
        <f t="shared" si="1"/>
        <v>0</v>
      </c>
      <c r="AD59">
        <f t="shared" si="2"/>
        <v>2</v>
      </c>
      <c r="AE59" t="str">
        <f t="shared" si="3"/>
        <v>OK</v>
      </c>
      <c r="AF59" t="str">
        <f t="shared" si="4"/>
        <v>OK</v>
      </c>
      <c r="AG59" t="str">
        <f t="shared" si="5"/>
        <v>OK</v>
      </c>
      <c r="AI59" t="str">
        <f t="shared" si="6"/>
        <v>ERROR</v>
      </c>
      <c r="AJ59" t="str">
        <f t="shared" si="7"/>
        <v>OK</v>
      </c>
      <c r="AK59" t="str">
        <f t="shared" si="8"/>
        <v>OK</v>
      </c>
      <c r="AL59" t="str">
        <f t="shared" si="9"/>
        <v>OK</v>
      </c>
      <c r="AM59" t="str">
        <f t="shared" si="10"/>
        <v>OK</v>
      </c>
      <c r="AN59" t="str">
        <f t="shared" si="11"/>
        <v>OK</v>
      </c>
      <c r="AO59" t="str">
        <f t="shared" si="12"/>
        <v>OK</v>
      </c>
      <c r="AP59" t="str">
        <f t="shared" si="13"/>
        <v>OK</v>
      </c>
      <c r="AQ59" t="str">
        <f t="shared" si="14"/>
        <v>OK</v>
      </c>
    </row>
    <row r="60" spans="1:43" x14ac:dyDescent="0.3">
      <c r="A60" t="s">
        <v>328</v>
      </c>
      <c r="B60" s="1">
        <v>45579</v>
      </c>
      <c r="C60" t="s">
        <v>329</v>
      </c>
      <c r="D60" t="s">
        <v>25</v>
      </c>
      <c r="E60" t="s">
        <v>330</v>
      </c>
      <c r="F60" t="s">
        <v>72</v>
      </c>
      <c r="G60" t="s">
        <v>331</v>
      </c>
      <c r="H60">
        <v>899</v>
      </c>
      <c r="I60">
        <v>1</v>
      </c>
      <c r="J60">
        <v>899</v>
      </c>
      <c r="K60" t="s">
        <v>29</v>
      </c>
      <c r="L60">
        <v>0</v>
      </c>
      <c r="M60" t="s">
        <v>44</v>
      </c>
      <c r="N60" t="s">
        <v>45</v>
      </c>
      <c r="O60" t="s">
        <v>32</v>
      </c>
      <c r="P60" t="s">
        <v>33</v>
      </c>
      <c r="Q60" t="s">
        <v>32</v>
      </c>
      <c r="R60" s="1">
        <v>45588</v>
      </c>
      <c r="S60" t="s">
        <v>34</v>
      </c>
      <c r="T60" t="s">
        <v>35</v>
      </c>
      <c r="U60" t="s">
        <v>29</v>
      </c>
      <c r="V60" s="1"/>
      <c r="W60" t="s">
        <v>36</v>
      </c>
      <c r="AB60" s="2">
        <f t="shared" si="0"/>
        <v>1</v>
      </c>
      <c r="AC60">
        <f t="shared" si="1"/>
        <v>0</v>
      </c>
      <c r="AD60">
        <f t="shared" si="2"/>
        <v>2</v>
      </c>
      <c r="AE60" t="str">
        <f t="shared" si="3"/>
        <v>OK</v>
      </c>
      <c r="AF60" t="str">
        <f t="shared" si="4"/>
        <v>OK</v>
      </c>
      <c r="AG60" t="str">
        <f t="shared" si="5"/>
        <v>OK</v>
      </c>
      <c r="AI60" t="str">
        <f t="shared" si="6"/>
        <v>ERROR</v>
      </c>
      <c r="AJ60" t="str">
        <f t="shared" si="7"/>
        <v>OK</v>
      </c>
      <c r="AK60" t="str">
        <f t="shared" si="8"/>
        <v>OK</v>
      </c>
      <c r="AL60" t="str">
        <f t="shared" si="9"/>
        <v>OK</v>
      </c>
      <c r="AM60" t="str">
        <f t="shared" si="10"/>
        <v>ERROR</v>
      </c>
      <c r="AN60" t="str">
        <f t="shared" si="11"/>
        <v>OK</v>
      </c>
      <c r="AO60" t="str">
        <f t="shared" si="12"/>
        <v>OK</v>
      </c>
      <c r="AP60" t="str">
        <f t="shared" si="13"/>
        <v>OK</v>
      </c>
      <c r="AQ60" t="str">
        <f t="shared" si="14"/>
        <v>OK</v>
      </c>
    </row>
    <row r="61" spans="1:43" x14ac:dyDescent="0.3">
      <c r="A61" t="s">
        <v>332</v>
      </c>
      <c r="B61" s="1">
        <v>45580</v>
      </c>
      <c r="C61" t="s">
        <v>333</v>
      </c>
      <c r="D61" t="s">
        <v>25</v>
      </c>
      <c r="E61" t="s">
        <v>334</v>
      </c>
      <c r="F61" t="s">
        <v>54</v>
      </c>
      <c r="G61" t="s">
        <v>335</v>
      </c>
      <c r="H61">
        <v>1799</v>
      </c>
      <c r="I61">
        <v>1</v>
      </c>
      <c r="J61">
        <v>1799</v>
      </c>
      <c r="K61" t="s">
        <v>29</v>
      </c>
      <c r="L61">
        <v>0</v>
      </c>
      <c r="M61" t="s">
        <v>56</v>
      </c>
      <c r="N61" t="s">
        <v>31</v>
      </c>
      <c r="O61" t="s">
        <v>46</v>
      </c>
      <c r="P61" t="s">
        <v>46</v>
      </c>
      <c r="Q61" t="s">
        <v>46</v>
      </c>
      <c r="R61" s="1"/>
      <c r="S61" t="s">
        <v>121</v>
      </c>
      <c r="T61" t="s">
        <v>35</v>
      </c>
      <c r="U61" t="s">
        <v>29</v>
      </c>
      <c r="V61" s="1"/>
      <c r="W61" t="s">
        <v>36</v>
      </c>
      <c r="AB61" s="2">
        <f t="shared" si="0"/>
        <v>1</v>
      </c>
      <c r="AC61">
        <f t="shared" si="1"/>
        <v>0</v>
      </c>
      <c r="AD61">
        <f t="shared" si="2"/>
        <v>2</v>
      </c>
      <c r="AE61" t="str">
        <f t="shared" si="3"/>
        <v>OK</v>
      </c>
      <c r="AF61" t="str">
        <f t="shared" si="4"/>
        <v>OK</v>
      </c>
      <c r="AG61" t="str">
        <f t="shared" si="5"/>
        <v>OK</v>
      </c>
      <c r="AI61" t="str">
        <f t="shared" si="6"/>
        <v>ERROR</v>
      </c>
      <c r="AJ61" t="str">
        <f t="shared" si="7"/>
        <v>ERROR</v>
      </c>
      <c r="AK61" t="str">
        <f t="shared" si="8"/>
        <v>OK</v>
      </c>
      <c r="AL61" t="str">
        <f t="shared" si="9"/>
        <v>OK</v>
      </c>
      <c r="AM61" t="str">
        <f t="shared" si="10"/>
        <v>OK</v>
      </c>
      <c r="AN61" t="str">
        <f t="shared" si="11"/>
        <v>OK</v>
      </c>
      <c r="AO61" t="str">
        <f t="shared" si="12"/>
        <v>OK</v>
      </c>
      <c r="AP61" t="str">
        <f t="shared" si="13"/>
        <v>OK</v>
      </c>
      <c r="AQ61" t="str">
        <f t="shared" si="14"/>
        <v>OK</v>
      </c>
    </row>
    <row r="62" spans="1:43" x14ac:dyDescent="0.3">
      <c r="A62" t="s">
        <v>336</v>
      </c>
      <c r="B62" s="1">
        <v>45580</v>
      </c>
      <c r="C62" t="s">
        <v>337</v>
      </c>
      <c r="D62" t="s">
        <v>25</v>
      </c>
      <c r="E62" t="s">
        <v>338</v>
      </c>
      <c r="F62" t="s">
        <v>41</v>
      </c>
      <c r="G62" t="s">
        <v>339</v>
      </c>
      <c r="H62">
        <v>2199</v>
      </c>
      <c r="I62">
        <v>1</v>
      </c>
      <c r="J62">
        <v>2199</v>
      </c>
      <c r="K62" t="s">
        <v>43</v>
      </c>
      <c r="L62">
        <v>20</v>
      </c>
      <c r="M62" t="s">
        <v>65</v>
      </c>
      <c r="N62" t="s">
        <v>66</v>
      </c>
      <c r="O62" t="s">
        <v>91</v>
      </c>
      <c r="P62" t="s">
        <v>92</v>
      </c>
      <c r="Q62" t="s">
        <v>46</v>
      </c>
      <c r="R62" s="1">
        <v>45591</v>
      </c>
      <c r="S62" t="s">
        <v>34</v>
      </c>
      <c r="T62" t="s">
        <v>47</v>
      </c>
      <c r="U62" t="s">
        <v>48</v>
      </c>
      <c r="V62" s="1">
        <v>45618</v>
      </c>
      <c r="W62" t="s">
        <v>49</v>
      </c>
      <c r="AB62" s="2">
        <f t="shared" si="0"/>
        <v>1</v>
      </c>
      <c r="AC62">
        <f t="shared" si="1"/>
        <v>0</v>
      </c>
      <c r="AD62">
        <f t="shared" si="2"/>
        <v>2</v>
      </c>
      <c r="AE62" t="str">
        <f t="shared" si="3"/>
        <v>OK</v>
      </c>
      <c r="AF62" t="str">
        <f t="shared" si="4"/>
        <v>OK</v>
      </c>
      <c r="AG62" t="str">
        <f t="shared" si="5"/>
        <v>OK</v>
      </c>
      <c r="AI62" t="str">
        <f t="shared" si="6"/>
        <v>ERROR</v>
      </c>
      <c r="AJ62" t="str">
        <f t="shared" si="7"/>
        <v>OK</v>
      </c>
      <c r="AK62" t="str">
        <f t="shared" si="8"/>
        <v>OK</v>
      </c>
      <c r="AL62" t="str">
        <f t="shared" si="9"/>
        <v>OK</v>
      </c>
      <c r="AM62" t="str">
        <f t="shared" si="10"/>
        <v>OK</v>
      </c>
      <c r="AN62" t="str">
        <f t="shared" si="11"/>
        <v>OK</v>
      </c>
      <c r="AO62" t="str">
        <f t="shared" si="12"/>
        <v>OK</v>
      </c>
      <c r="AP62" t="str">
        <f t="shared" si="13"/>
        <v>OK</v>
      </c>
      <c r="AQ62" t="str">
        <f t="shared" si="14"/>
        <v>OK</v>
      </c>
    </row>
    <row r="63" spans="1:43" x14ac:dyDescent="0.3">
      <c r="A63" t="s">
        <v>340</v>
      </c>
      <c r="B63" s="1">
        <v>45580</v>
      </c>
      <c r="C63" t="s">
        <v>341</v>
      </c>
      <c r="D63" t="s">
        <v>39</v>
      </c>
      <c r="E63" t="s">
        <v>342</v>
      </c>
      <c r="F63" t="s">
        <v>27</v>
      </c>
      <c r="G63" t="s">
        <v>343</v>
      </c>
      <c r="H63">
        <v>1399</v>
      </c>
      <c r="I63">
        <v>1</v>
      </c>
      <c r="J63">
        <v>1399</v>
      </c>
      <c r="K63" t="s">
        <v>29</v>
      </c>
      <c r="L63">
        <v>0</v>
      </c>
      <c r="M63" t="s">
        <v>30</v>
      </c>
      <c r="N63" t="s">
        <v>45</v>
      </c>
      <c r="O63" t="s">
        <v>67</v>
      </c>
      <c r="P63" t="s">
        <v>68</v>
      </c>
      <c r="Q63" t="s">
        <v>57</v>
      </c>
      <c r="R63" s="1">
        <v>45589</v>
      </c>
      <c r="S63" t="s">
        <v>34</v>
      </c>
      <c r="T63" t="s">
        <v>35</v>
      </c>
      <c r="U63" t="s">
        <v>29</v>
      </c>
      <c r="V63" s="1"/>
      <c r="W63" t="s">
        <v>36</v>
      </c>
      <c r="AB63" s="2">
        <f t="shared" si="0"/>
        <v>1</v>
      </c>
      <c r="AC63">
        <f t="shared" si="1"/>
        <v>0</v>
      </c>
      <c r="AD63">
        <f t="shared" si="2"/>
        <v>2</v>
      </c>
      <c r="AE63" t="str">
        <f t="shared" si="3"/>
        <v>OK</v>
      </c>
      <c r="AF63" t="str">
        <f t="shared" si="4"/>
        <v>OK</v>
      </c>
      <c r="AG63" t="str">
        <f t="shared" si="5"/>
        <v>OK</v>
      </c>
      <c r="AI63" t="str">
        <f t="shared" si="6"/>
        <v>ERROR</v>
      </c>
      <c r="AJ63" t="str">
        <f t="shared" si="7"/>
        <v>OK</v>
      </c>
      <c r="AK63" t="str">
        <f t="shared" si="8"/>
        <v>OK</v>
      </c>
      <c r="AL63" t="str">
        <f t="shared" si="9"/>
        <v>OK</v>
      </c>
      <c r="AM63" t="str">
        <f t="shared" si="10"/>
        <v>ERROR</v>
      </c>
      <c r="AN63" t="str">
        <f t="shared" si="11"/>
        <v>OK</v>
      </c>
      <c r="AO63" t="str">
        <f t="shared" si="12"/>
        <v>OK</v>
      </c>
      <c r="AP63" t="str">
        <f t="shared" si="13"/>
        <v>OK</v>
      </c>
      <c r="AQ63" t="str">
        <f t="shared" si="14"/>
        <v>OK</v>
      </c>
    </row>
    <row r="64" spans="1:43" x14ac:dyDescent="0.3">
      <c r="A64" t="s">
        <v>344</v>
      </c>
      <c r="B64" s="1">
        <v>45580</v>
      </c>
      <c r="C64" t="s">
        <v>345</v>
      </c>
      <c r="D64" t="s">
        <v>25</v>
      </c>
      <c r="E64" t="s">
        <v>346</v>
      </c>
      <c r="F64" t="s">
        <v>62</v>
      </c>
      <c r="G64" t="s">
        <v>347</v>
      </c>
      <c r="H64">
        <v>2999</v>
      </c>
      <c r="I64">
        <v>1</v>
      </c>
      <c r="J64">
        <v>2999</v>
      </c>
      <c r="K64" t="s">
        <v>29</v>
      </c>
      <c r="L64">
        <v>0</v>
      </c>
      <c r="M64" t="s">
        <v>44</v>
      </c>
      <c r="N64" t="s">
        <v>31</v>
      </c>
      <c r="O64" t="s">
        <v>78</v>
      </c>
      <c r="P64" t="s">
        <v>79</v>
      </c>
      <c r="Q64" t="s">
        <v>57</v>
      </c>
      <c r="R64" s="1">
        <v>45592</v>
      </c>
      <c r="S64" t="s">
        <v>34</v>
      </c>
      <c r="T64" t="s">
        <v>47</v>
      </c>
      <c r="U64" t="s">
        <v>69</v>
      </c>
      <c r="V64" s="1">
        <v>45620</v>
      </c>
      <c r="W64" t="s">
        <v>49</v>
      </c>
      <c r="AB64" s="2">
        <f t="shared" si="0"/>
        <v>1</v>
      </c>
      <c r="AC64">
        <f t="shared" si="1"/>
        <v>0</v>
      </c>
      <c r="AD64">
        <f t="shared" si="2"/>
        <v>2</v>
      </c>
      <c r="AE64" t="str">
        <f t="shared" si="3"/>
        <v>OK</v>
      </c>
      <c r="AF64" t="str">
        <f t="shared" si="4"/>
        <v>OK</v>
      </c>
      <c r="AG64" t="str">
        <f t="shared" si="5"/>
        <v>OK</v>
      </c>
      <c r="AI64" t="str">
        <f t="shared" si="6"/>
        <v>ERROR</v>
      </c>
      <c r="AJ64" t="str">
        <f t="shared" si="7"/>
        <v>OK</v>
      </c>
      <c r="AK64" t="str">
        <f t="shared" si="8"/>
        <v>OK</v>
      </c>
      <c r="AL64" t="str">
        <f t="shared" si="9"/>
        <v>OK</v>
      </c>
      <c r="AM64" t="str">
        <f t="shared" si="10"/>
        <v>OK</v>
      </c>
      <c r="AN64" t="str">
        <f t="shared" si="11"/>
        <v>OK</v>
      </c>
      <c r="AO64" t="str">
        <f t="shared" si="12"/>
        <v>OK</v>
      </c>
      <c r="AP64" t="str">
        <f t="shared" si="13"/>
        <v>OK</v>
      </c>
      <c r="AQ64" t="str">
        <f t="shared" si="14"/>
        <v>OK</v>
      </c>
    </row>
    <row r="65" spans="1:43" x14ac:dyDescent="0.3">
      <c r="A65" t="s">
        <v>348</v>
      </c>
      <c r="B65" s="1">
        <v>45581</v>
      </c>
      <c r="C65" t="s">
        <v>349</v>
      </c>
      <c r="D65" t="s">
        <v>25</v>
      </c>
      <c r="E65" t="s">
        <v>350</v>
      </c>
      <c r="F65" t="s">
        <v>72</v>
      </c>
      <c r="G65" t="s">
        <v>351</v>
      </c>
      <c r="H65">
        <v>699</v>
      </c>
      <c r="I65">
        <v>2</v>
      </c>
      <c r="J65">
        <v>1398</v>
      </c>
      <c r="K65" t="s">
        <v>111</v>
      </c>
      <c r="L65">
        <v>10</v>
      </c>
      <c r="M65" t="s">
        <v>112</v>
      </c>
      <c r="N65" t="s">
        <v>66</v>
      </c>
      <c r="O65" t="s">
        <v>85</v>
      </c>
      <c r="P65" t="s">
        <v>33</v>
      </c>
      <c r="Q65" t="s">
        <v>32</v>
      </c>
      <c r="R65" s="1">
        <v>45590</v>
      </c>
      <c r="S65" t="s">
        <v>34</v>
      </c>
      <c r="T65" t="s">
        <v>35</v>
      </c>
      <c r="U65" t="s">
        <v>29</v>
      </c>
      <c r="V65" s="1"/>
      <c r="W65" t="s">
        <v>36</v>
      </c>
      <c r="AB65" s="2">
        <f t="shared" si="0"/>
        <v>1</v>
      </c>
      <c r="AC65">
        <f t="shared" si="1"/>
        <v>0</v>
      </c>
      <c r="AD65">
        <f t="shared" si="2"/>
        <v>2</v>
      </c>
      <c r="AE65" t="str">
        <f t="shared" si="3"/>
        <v>OK</v>
      </c>
      <c r="AF65" t="str">
        <f t="shared" si="4"/>
        <v>OK</v>
      </c>
      <c r="AG65" t="str">
        <f t="shared" si="5"/>
        <v>OK</v>
      </c>
      <c r="AI65" t="str">
        <f t="shared" si="6"/>
        <v>ERROR</v>
      </c>
      <c r="AJ65" t="str">
        <f t="shared" si="7"/>
        <v>OK</v>
      </c>
      <c r="AK65" t="str">
        <f t="shared" si="8"/>
        <v>OK</v>
      </c>
      <c r="AL65" t="str">
        <f t="shared" si="9"/>
        <v>OK</v>
      </c>
      <c r="AM65" t="str">
        <f t="shared" si="10"/>
        <v>ERROR</v>
      </c>
      <c r="AN65" t="str">
        <f t="shared" si="11"/>
        <v>OK</v>
      </c>
      <c r="AO65" t="str">
        <f t="shared" si="12"/>
        <v>OK</v>
      </c>
      <c r="AP65" t="str">
        <f t="shared" si="13"/>
        <v>OK</v>
      </c>
      <c r="AQ65" t="str">
        <f t="shared" si="14"/>
        <v>OK</v>
      </c>
    </row>
    <row r="66" spans="1:43" x14ac:dyDescent="0.3">
      <c r="A66" t="s">
        <v>352</v>
      </c>
      <c r="B66" s="1">
        <v>45581</v>
      </c>
      <c r="C66" t="s">
        <v>353</v>
      </c>
      <c r="D66" t="s">
        <v>25</v>
      </c>
      <c r="E66" t="s">
        <v>354</v>
      </c>
      <c r="F66" t="s">
        <v>54</v>
      </c>
      <c r="G66" t="s">
        <v>355</v>
      </c>
      <c r="H66">
        <v>2199</v>
      </c>
      <c r="I66">
        <v>1</v>
      </c>
      <c r="J66">
        <v>2199</v>
      </c>
      <c r="K66" t="s">
        <v>29</v>
      </c>
      <c r="L66">
        <v>0</v>
      </c>
      <c r="M66" t="s">
        <v>56</v>
      </c>
      <c r="N66" t="s">
        <v>45</v>
      </c>
      <c r="O66" t="s">
        <v>97</v>
      </c>
      <c r="P66" t="s">
        <v>98</v>
      </c>
      <c r="Q66" t="s">
        <v>32</v>
      </c>
      <c r="R66" s="1">
        <v>45593</v>
      </c>
      <c r="S66" t="s">
        <v>34</v>
      </c>
      <c r="T66" t="s">
        <v>47</v>
      </c>
      <c r="U66" t="s">
        <v>48</v>
      </c>
      <c r="V66" s="1">
        <v>45621</v>
      </c>
      <c r="W66" t="s">
        <v>49</v>
      </c>
      <c r="AB66" s="2">
        <f t="shared" si="0"/>
        <v>1</v>
      </c>
      <c r="AC66">
        <f t="shared" si="1"/>
        <v>0</v>
      </c>
      <c r="AD66">
        <f t="shared" si="2"/>
        <v>2</v>
      </c>
      <c r="AE66" t="str">
        <f t="shared" si="3"/>
        <v>OK</v>
      </c>
      <c r="AF66" t="str">
        <f t="shared" si="4"/>
        <v>OK</v>
      </c>
      <c r="AG66" t="str">
        <f t="shared" si="5"/>
        <v>OK</v>
      </c>
      <c r="AI66" t="str">
        <f t="shared" si="6"/>
        <v>ERROR</v>
      </c>
      <c r="AJ66" t="str">
        <f t="shared" si="7"/>
        <v>OK</v>
      </c>
      <c r="AK66" t="str">
        <f t="shared" si="8"/>
        <v>OK</v>
      </c>
      <c r="AL66" t="str">
        <f t="shared" si="9"/>
        <v>OK</v>
      </c>
      <c r="AM66" t="str">
        <f t="shared" si="10"/>
        <v>OK</v>
      </c>
      <c r="AN66" t="str">
        <f t="shared" si="11"/>
        <v>OK</v>
      </c>
      <c r="AO66" t="str">
        <f t="shared" si="12"/>
        <v>OK</v>
      </c>
      <c r="AP66" t="str">
        <f t="shared" si="13"/>
        <v>OK</v>
      </c>
      <c r="AQ66" t="str">
        <f t="shared" si="14"/>
        <v>OK</v>
      </c>
    </row>
    <row r="67" spans="1:43" x14ac:dyDescent="0.3">
      <c r="A67" t="s">
        <v>356</v>
      </c>
      <c r="B67" s="1">
        <v>45581</v>
      </c>
      <c r="C67" t="s">
        <v>357</v>
      </c>
      <c r="D67" t="s">
        <v>39</v>
      </c>
      <c r="E67" t="s">
        <v>358</v>
      </c>
      <c r="F67" t="s">
        <v>41</v>
      </c>
      <c r="G67" t="s">
        <v>359</v>
      </c>
      <c r="H67">
        <v>2499</v>
      </c>
      <c r="I67">
        <v>1</v>
      </c>
      <c r="J67">
        <v>2499</v>
      </c>
      <c r="K67" t="s">
        <v>29</v>
      </c>
      <c r="L67">
        <v>0</v>
      </c>
      <c r="M67" t="s">
        <v>44</v>
      </c>
      <c r="N67" t="s">
        <v>31</v>
      </c>
      <c r="O67" t="s">
        <v>103</v>
      </c>
      <c r="P67" t="s">
        <v>104</v>
      </c>
      <c r="Q67" t="s">
        <v>46</v>
      </c>
      <c r="R67" s="1">
        <v>45591</v>
      </c>
      <c r="S67" t="s">
        <v>34</v>
      </c>
      <c r="T67" t="s">
        <v>35</v>
      </c>
      <c r="U67" t="s">
        <v>29</v>
      </c>
      <c r="V67" s="1"/>
      <c r="W67" t="s">
        <v>36</v>
      </c>
      <c r="AB67" s="2">
        <f t="shared" ref="AB67:AB130" si="15">COUNTIF(A$2:A$347,A67)</f>
        <v>1</v>
      </c>
      <c r="AC67">
        <f t="shared" ref="AC67:AC130" si="16">LEN(S67)-LEN(TRIM(S67))</f>
        <v>0</v>
      </c>
      <c r="AD67">
        <f t="shared" ref="AD67:AD130" si="17">LEN(E67)-LEN(SUBSTITUTE(E67,"-",""))</f>
        <v>2</v>
      </c>
      <c r="AE67" t="str">
        <f t="shared" ref="AE67:AE130" si="18">IF(I67&gt;10,"FLAG","OK")</f>
        <v>OK</v>
      </c>
      <c r="AF67" t="str">
        <f t="shared" ref="AF67:AF130" si="19">IF(OR(H67&lt;=0,H67&gt;10000),"FLAG","OK")</f>
        <v>OK</v>
      </c>
      <c r="AG67" t="str">
        <f t="shared" ref="AG67:AG130" si="20">IF(OR(L67&lt;0,L67&gt;100),"FLAG","OK")</f>
        <v>OK</v>
      </c>
      <c r="AI67" t="str">
        <f t="shared" ref="AI67:AI130" si="21">IF(AG67=J67,"OK","ERROR")</f>
        <v>ERROR</v>
      </c>
      <c r="AJ67" t="str">
        <f t="shared" ref="AJ67:AJ130" si="22">IF(R67&lt;B67,"ERROR","OK")</f>
        <v>OK</v>
      </c>
      <c r="AK67" t="str">
        <f t="shared" ref="AK67:AK130" si="23">IF(AND(S67="Cancelled",R67&lt;&gt;""),"ERROR","OK")</f>
        <v>OK</v>
      </c>
      <c r="AL67" t="str">
        <f t="shared" ref="AL67:AL130" si="24">IF(AND(T67="Yes",U67=""),"ERROR","OK")</f>
        <v>OK</v>
      </c>
      <c r="AM67" t="str">
        <f t="shared" ref="AM67:AM130" si="25">IF(V67&lt;R67,"ERROR","OK")</f>
        <v>ERROR</v>
      </c>
      <c r="AN67" t="str">
        <f t="shared" ref="AN67:AN130" si="26">IF(AND(I67&gt;0,MOD(I67,1)=0),"OK","ERROR")</f>
        <v>OK</v>
      </c>
      <c r="AO67" t="str">
        <f t="shared" ref="AO67:AO130" si="27">IF(OR(B67="",B67&lt;DATE(2024,10,1),B67&gt;DATE(2024,12,31)),"ERROR","OK")</f>
        <v>OK</v>
      </c>
      <c r="AP67" t="str">
        <f t="shared" ref="AP67:AP130" si="28">IF(OR(B67&lt;DATE(2024,10,1),B67&gt;DATE(2024,12,31)),"ERROR","OK")</f>
        <v>OK</v>
      </c>
      <c r="AQ67" t="str">
        <f t="shared" ref="AQ67:AQ130" si="29">IF(OR(S67="Delivered",S67="Cancelled",S67="RTO",S67="In Transit"),"OK","ERROR")</f>
        <v>OK</v>
      </c>
    </row>
    <row r="68" spans="1:43" x14ac:dyDescent="0.3">
      <c r="A68" t="s">
        <v>360</v>
      </c>
      <c r="B68" s="1">
        <v>45581</v>
      </c>
      <c r="C68" t="s">
        <v>361</v>
      </c>
      <c r="D68" t="s">
        <v>25</v>
      </c>
      <c r="E68" t="s">
        <v>362</v>
      </c>
      <c r="F68" t="s">
        <v>27</v>
      </c>
      <c r="G68" t="s">
        <v>363</v>
      </c>
      <c r="H68">
        <v>1899</v>
      </c>
      <c r="I68">
        <v>1</v>
      </c>
      <c r="J68">
        <v>1899</v>
      </c>
      <c r="K68" t="s">
        <v>43</v>
      </c>
      <c r="L68">
        <v>20</v>
      </c>
      <c r="M68" t="s">
        <v>30</v>
      </c>
      <c r="N68" t="s">
        <v>66</v>
      </c>
      <c r="O68" t="s">
        <v>113</v>
      </c>
      <c r="P68" t="s">
        <v>114</v>
      </c>
      <c r="Q68" t="s">
        <v>46</v>
      </c>
      <c r="R68" s="1">
        <v>45592</v>
      </c>
      <c r="S68" t="s">
        <v>34</v>
      </c>
      <c r="T68" t="s">
        <v>47</v>
      </c>
      <c r="U68" t="s">
        <v>80</v>
      </c>
      <c r="V68" s="1">
        <v>45616</v>
      </c>
      <c r="W68" t="s">
        <v>49</v>
      </c>
      <c r="AB68" s="2">
        <f t="shared" si="15"/>
        <v>1</v>
      </c>
      <c r="AC68">
        <f t="shared" si="16"/>
        <v>0</v>
      </c>
      <c r="AD68">
        <f t="shared" si="17"/>
        <v>2</v>
      </c>
      <c r="AE68" t="str">
        <f t="shared" si="18"/>
        <v>OK</v>
      </c>
      <c r="AF68" t="str">
        <f t="shared" si="19"/>
        <v>OK</v>
      </c>
      <c r="AG68" t="str">
        <f t="shared" si="20"/>
        <v>OK</v>
      </c>
      <c r="AI68" t="str">
        <f t="shared" si="21"/>
        <v>ERROR</v>
      </c>
      <c r="AJ68" t="str">
        <f t="shared" si="22"/>
        <v>OK</v>
      </c>
      <c r="AK68" t="str">
        <f t="shared" si="23"/>
        <v>OK</v>
      </c>
      <c r="AL68" t="str">
        <f t="shared" si="24"/>
        <v>OK</v>
      </c>
      <c r="AM68" t="str">
        <f t="shared" si="25"/>
        <v>OK</v>
      </c>
      <c r="AN68" t="str">
        <f t="shared" si="26"/>
        <v>OK</v>
      </c>
      <c r="AO68" t="str">
        <f t="shared" si="27"/>
        <v>OK</v>
      </c>
      <c r="AP68" t="str">
        <f t="shared" si="28"/>
        <v>OK</v>
      </c>
      <c r="AQ68" t="str">
        <f t="shared" si="29"/>
        <v>OK</v>
      </c>
    </row>
    <row r="69" spans="1:43" x14ac:dyDescent="0.3">
      <c r="A69" t="s">
        <v>364</v>
      </c>
      <c r="B69" s="1">
        <v>45582</v>
      </c>
      <c r="C69" t="s">
        <v>365</v>
      </c>
      <c r="D69" t="s">
        <v>25</v>
      </c>
      <c r="E69" t="s">
        <v>366</v>
      </c>
      <c r="F69" t="s">
        <v>62</v>
      </c>
      <c r="G69" t="s">
        <v>367</v>
      </c>
      <c r="H69">
        <v>1299</v>
      </c>
      <c r="I69">
        <v>1</v>
      </c>
      <c r="J69">
        <v>1299</v>
      </c>
      <c r="K69" t="s">
        <v>29</v>
      </c>
      <c r="L69">
        <v>0</v>
      </c>
      <c r="M69" t="s">
        <v>65</v>
      </c>
      <c r="N69" t="s">
        <v>45</v>
      </c>
      <c r="O69" t="s">
        <v>57</v>
      </c>
      <c r="P69" t="s">
        <v>58</v>
      </c>
      <c r="Q69" t="s">
        <v>57</v>
      </c>
      <c r="R69" s="1">
        <v>45593</v>
      </c>
      <c r="S69" t="s">
        <v>34</v>
      </c>
      <c r="T69" t="s">
        <v>35</v>
      </c>
      <c r="U69" t="s">
        <v>29</v>
      </c>
      <c r="V69" s="1"/>
      <c r="W69" t="s">
        <v>36</v>
      </c>
      <c r="AB69" s="2">
        <f t="shared" si="15"/>
        <v>1</v>
      </c>
      <c r="AC69">
        <f t="shared" si="16"/>
        <v>0</v>
      </c>
      <c r="AD69">
        <f t="shared" si="17"/>
        <v>2</v>
      </c>
      <c r="AE69" t="str">
        <f t="shared" si="18"/>
        <v>OK</v>
      </c>
      <c r="AF69" t="str">
        <f t="shared" si="19"/>
        <v>OK</v>
      </c>
      <c r="AG69" t="str">
        <f t="shared" si="20"/>
        <v>OK</v>
      </c>
      <c r="AI69" t="str">
        <f t="shared" si="21"/>
        <v>ERROR</v>
      </c>
      <c r="AJ69" t="str">
        <f t="shared" si="22"/>
        <v>OK</v>
      </c>
      <c r="AK69" t="str">
        <f t="shared" si="23"/>
        <v>OK</v>
      </c>
      <c r="AL69" t="str">
        <f t="shared" si="24"/>
        <v>OK</v>
      </c>
      <c r="AM69" t="str">
        <f t="shared" si="25"/>
        <v>ERROR</v>
      </c>
      <c r="AN69" t="str">
        <f t="shared" si="26"/>
        <v>OK</v>
      </c>
      <c r="AO69" t="str">
        <f t="shared" si="27"/>
        <v>OK</v>
      </c>
      <c r="AP69" t="str">
        <f t="shared" si="28"/>
        <v>OK</v>
      </c>
      <c r="AQ69" t="str">
        <f t="shared" si="29"/>
        <v>OK</v>
      </c>
    </row>
    <row r="70" spans="1:43" x14ac:dyDescent="0.3">
      <c r="A70" t="s">
        <v>368</v>
      </c>
      <c r="B70" s="1">
        <v>45582</v>
      </c>
      <c r="C70" t="s">
        <v>369</v>
      </c>
      <c r="D70" t="s">
        <v>25</v>
      </c>
      <c r="E70" t="s">
        <v>370</v>
      </c>
      <c r="F70" t="s">
        <v>72</v>
      </c>
      <c r="G70" t="s">
        <v>371</v>
      </c>
      <c r="H70">
        <v>1599</v>
      </c>
      <c r="I70">
        <v>1</v>
      </c>
      <c r="J70">
        <v>1599</v>
      </c>
      <c r="K70" t="s">
        <v>29</v>
      </c>
      <c r="L70">
        <v>0</v>
      </c>
      <c r="M70" t="s">
        <v>44</v>
      </c>
      <c r="N70" t="s">
        <v>31</v>
      </c>
      <c r="O70" t="s">
        <v>32</v>
      </c>
      <c r="P70" t="s">
        <v>33</v>
      </c>
      <c r="Q70" t="s">
        <v>32</v>
      </c>
      <c r="R70" s="1">
        <v>45592</v>
      </c>
      <c r="S70" t="s">
        <v>34</v>
      </c>
      <c r="T70" t="s">
        <v>47</v>
      </c>
      <c r="U70" t="s">
        <v>139</v>
      </c>
      <c r="V70" s="1">
        <v>45618</v>
      </c>
      <c r="W70" t="s">
        <v>49</v>
      </c>
      <c r="AB70" s="2">
        <f t="shared" si="15"/>
        <v>1</v>
      </c>
      <c r="AC70">
        <f t="shared" si="16"/>
        <v>0</v>
      </c>
      <c r="AD70">
        <f t="shared" si="17"/>
        <v>2</v>
      </c>
      <c r="AE70" t="str">
        <f t="shared" si="18"/>
        <v>OK</v>
      </c>
      <c r="AF70" t="str">
        <f t="shared" si="19"/>
        <v>OK</v>
      </c>
      <c r="AG70" t="str">
        <f t="shared" si="20"/>
        <v>OK</v>
      </c>
      <c r="AI70" t="str">
        <f t="shared" si="21"/>
        <v>ERROR</v>
      </c>
      <c r="AJ70" t="str">
        <f t="shared" si="22"/>
        <v>OK</v>
      </c>
      <c r="AK70" t="str">
        <f t="shared" si="23"/>
        <v>OK</v>
      </c>
      <c r="AL70" t="str">
        <f t="shared" si="24"/>
        <v>OK</v>
      </c>
      <c r="AM70" t="str">
        <f t="shared" si="25"/>
        <v>OK</v>
      </c>
      <c r="AN70" t="str">
        <f t="shared" si="26"/>
        <v>OK</v>
      </c>
      <c r="AO70" t="str">
        <f t="shared" si="27"/>
        <v>OK</v>
      </c>
      <c r="AP70" t="str">
        <f t="shared" si="28"/>
        <v>OK</v>
      </c>
      <c r="AQ70" t="str">
        <f t="shared" si="29"/>
        <v>OK</v>
      </c>
    </row>
    <row r="71" spans="1:43" x14ac:dyDescent="0.3">
      <c r="A71" t="s">
        <v>372</v>
      </c>
      <c r="B71" s="1">
        <v>45582</v>
      </c>
      <c r="C71" t="s">
        <v>373</v>
      </c>
      <c r="D71" t="s">
        <v>39</v>
      </c>
      <c r="E71" t="s">
        <v>374</v>
      </c>
      <c r="F71" t="s">
        <v>54</v>
      </c>
      <c r="G71" t="s">
        <v>375</v>
      </c>
      <c r="H71">
        <v>2099</v>
      </c>
      <c r="I71">
        <v>1</v>
      </c>
      <c r="J71">
        <v>2099</v>
      </c>
      <c r="K71" t="s">
        <v>64</v>
      </c>
      <c r="L71">
        <v>15</v>
      </c>
      <c r="M71" t="s">
        <v>30</v>
      </c>
      <c r="N71" t="s">
        <v>66</v>
      </c>
      <c r="O71" t="s">
        <v>46</v>
      </c>
      <c r="P71" t="s">
        <v>46</v>
      </c>
      <c r="Q71" t="s">
        <v>46</v>
      </c>
      <c r="R71" s="1">
        <v>45594</v>
      </c>
      <c r="S71" t="s">
        <v>34</v>
      </c>
      <c r="T71" t="s">
        <v>35</v>
      </c>
      <c r="U71" t="s">
        <v>29</v>
      </c>
      <c r="V71" s="1"/>
      <c r="W71" t="s">
        <v>36</v>
      </c>
      <c r="AB71" s="2">
        <f t="shared" si="15"/>
        <v>1</v>
      </c>
      <c r="AC71">
        <f t="shared" si="16"/>
        <v>0</v>
      </c>
      <c r="AD71">
        <f t="shared" si="17"/>
        <v>2</v>
      </c>
      <c r="AE71" t="str">
        <f t="shared" si="18"/>
        <v>OK</v>
      </c>
      <c r="AF71" t="str">
        <f t="shared" si="19"/>
        <v>OK</v>
      </c>
      <c r="AG71" t="str">
        <f t="shared" si="20"/>
        <v>OK</v>
      </c>
      <c r="AI71" t="str">
        <f t="shared" si="21"/>
        <v>ERROR</v>
      </c>
      <c r="AJ71" t="str">
        <f t="shared" si="22"/>
        <v>OK</v>
      </c>
      <c r="AK71" t="str">
        <f t="shared" si="23"/>
        <v>OK</v>
      </c>
      <c r="AL71" t="str">
        <f t="shared" si="24"/>
        <v>OK</v>
      </c>
      <c r="AM71" t="str">
        <f t="shared" si="25"/>
        <v>ERROR</v>
      </c>
      <c r="AN71" t="str">
        <f t="shared" si="26"/>
        <v>OK</v>
      </c>
      <c r="AO71" t="str">
        <f t="shared" si="27"/>
        <v>OK</v>
      </c>
      <c r="AP71" t="str">
        <f t="shared" si="28"/>
        <v>OK</v>
      </c>
      <c r="AQ71" t="str">
        <f t="shared" si="29"/>
        <v>OK</v>
      </c>
    </row>
    <row r="72" spans="1:43" x14ac:dyDescent="0.3">
      <c r="A72" t="s">
        <v>376</v>
      </c>
      <c r="B72" s="1">
        <v>45582</v>
      </c>
      <c r="C72" t="s">
        <v>377</v>
      </c>
      <c r="D72" t="s">
        <v>25</v>
      </c>
      <c r="E72" t="s">
        <v>378</v>
      </c>
      <c r="F72" t="s">
        <v>41</v>
      </c>
      <c r="G72" t="s">
        <v>379</v>
      </c>
      <c r="H72">
        <v>2299</v>
      </c>
      <c r="I72">
        <v>1</v>
      </c>
      <c r="J72">
        <v>2299</v>
      </c>
      <c r="K72" t="s">
        <v>29</v>
      </c>
      <c r="L72">
        <v>0</v>
      </c>
      <c r="M72" t="s">
        <v>56</v>
      </c>
      <c r="N72" t="s">
        <v>45</v>
      </c>
      <c r="O72" t="s">
        <v>119</v>
      </c>
      <c r="P72" t="s">
        <v>120</v>
      </c>
      <c r="Q72" t="s">
        <v>46</v>
      </c>
      <c r="R72" s="1"/>
      <c r="S72" t="s">
        <v>121</v>
      </c>
      <c r="T72" t="s">
        <v>35</v>
      </c>
      <c r="U72" t="s">
        <v>29</v>
      </c>
      <c r="V72" s="1"/>
      <c r="W72" t="s">
        <v>36</v>
      </c>
      <c r="AB72" s="2">
        <f t="shared" si="15"/>
        <v>1</v>
      </c>
      <c r="AC72">
        <f t="shared" si="16"/>
        <v>0</v>
      </c>
      <c r="AD72">
        <f t="shared" si="17"/>
        <v>2</v>
      </c>
      <c r="AE72" t="str">
        <f t="shared" si="18"/>
        <v>OK</v>
      </c>
      <c r="AF72" t="str">
        <f t="shared" si="19"/>
        <v>OK</v>
      </c>
      <c r="AG72" t="str">
        <f t="shared" si="20"/>
        <v>OK</v>
      </c>
      <c r="AI72" t="str">
        <f t="shared" si="21"/>
        <v>ERROR</v>
      </c>
      <c r="AJ72" t="str">
        <f t="shared" si="22"/>
        <v>ERROR</v>
      </c>
      <c r="AK72" t="str">
        <f t="shared" si="23"/>
        <v>OK</v>
      </c>
      <c r="AL72" t="str">
        <f t="shared" si="24"/>
        <v>OK</v>
      </c>
      <c r="AM72" t="str">
        <f t="shared" si="25"/>
        <v>OK</v>
      </c>
      <c r="AN72" t="str">
        <f t="shared" si="26"/>
        <v>OK</v>
      </c>
      <c r="AO72" t="str">
        <f t="shared" si="27"/>
        <v>OK</v>
      </c>
      <c r="AP72" t="str">
        <f t="shared" si="28"/>
        <v>OK</v>
      </c>
      <c r="AQ72" t="str">
        <f t="shared" si="29"/>
        <v>OK</v>
      </c>
    </row>
    <row r="73" spans="1:43" x14ac:dyDescent="0.3">
      <c r="A73" t="s">
        <v>380</v>
      </c>
      <c r="B73" s="1">
        <v>45583</v>
      </c>
      <c r="C73" t="s">
        <v>381</v>
      </c>
      <c r="D73" t="s">
        <v>25</v>
      </c>
      <c r="E73" t="s">
        <v>382</v>
      </c>
      <c r="F73" t="s">
        <v>27</v>
      </c>
      <c r="G73" t="s">
        <v>383</v>
      </c>
      <c r="H73">
        <v>1199</v>
      </c>
      <c r="I73">
        <v>2</v>
      </c>
      <c r="J73">
        <v>2398</v>
      </c>
      <c r="K73" t="s">
        <v>29</v>
      </c>
      <c r="L73">
        <v>0</v>
      </c>
      <c r="M73" t="s">
        <v>112</v>
      </c>
      <c r="N73" t="s">
        <v>31</v>
      </c>
      <c r="O73" t="s">
        <v>138</v>
      </c>
      <c r="P73" t="s">
        <v>114</v>
      </c>
      <c r="Q73" t="s">
        <v>46</v>
      </c>
      <c r="R73" s="1">
        <v>45593</v>
      </c>
      <c r="S73" t="s">
        <v>34</v>
      </c>
      <c r="T73" t="s">
        <v>35</v>
      </c>
      <c r="U73" t="s">
        <v>29</v>
      </c>
      <c r="V73" s="1"/>
      <c r="W73" t="s">
        <v>36</v>
      </c>
      <c r="AB73" s="2">
        <f t="shared" si="15"/>
        <v>1</v>
      </c>
      <c r="AC73">
        <f t="shared" si="16"/>
        <v>0</v>
      </c>
      <c r="AD73">
        <f t="shared" si="17"/>
        <v>2</v>
      </c>
      <c r="AE73" t="str">
        <f t="shared" si="18"/>
        <v>OK</v>
      </c>
      <c r="AF73" t="str">
        <f t="shared" si="19"/>
        <v>OK</v>
      </c>
      <c r="AG73" t="str">
        <f t="shared" si="20"/>
        <v>OK</v>
      </c>
      <c r="AI73" t="str">
        <f t="shared" si="21"/>
        <v>ERROR</v>
      </c>
      <c r="AJ73" t="str">
        <f t="shared" si="22"/>
        <v>OK</v>
      </c>
      <c r="AK73" t="str">
        <f t="shared" si="23"/>
        <v>OK</v>
      </c>
      <c r="AL73" t="str">
        <f t="shared" si="24"/>
        <v>OK</v>
      </c>
      <c r="AM73" t="str">
        <f t="shared" si="25"/>
        <v>ERROR</v>
      </c>
      <c r="AN73" t="str">
        <f t="shared" si="26"/>
        <v>OK</v>
      </c>
      <c r="AO73" t="str">
        <f t="shared" si="27"/>
        <v>OK</v>
      </c>
      <c r="AP73" t="str">
        <f t="shared" si="28"/>
        <v>OK</v>
      </c>
      <c r="AQ73" t="str">
        <f t="shared" si="29"/>
        <v>OK</v>
      </c>
    </row>
    <row r="74" spans="1:43" x14ac:dyDescent="0.3">
      <c r="A74" t="s">
        <v>384</v>
      </c>
      <c r="B74" s="1">
        <v>45583</v>
      </c>
      <c r="C74" t="s">
        <v>385</v>
      </c>
      <c r="D74" t="s">
        <v>25</v>
      </c>
      <c r="E74" t="s">
        <v>386</v>
      </c>
      <c r="F74" t="s">
        <v>62</v>
      </c>
      <c r="G74" t="s">
        <v>387</v>
      </c>
      <c r="H74">
        <v>2599</v>
      </c>
      <c r="I74">
        <v>1</v>
      </c>
      <c r="J74">
        <v>2599</v>
      </c>
      <c r="K74" t="s">
        <v>43</v>
      </c>
      <c r="L74">
        <v>20</v>
      </c>
      <c r="M74" t="s">
        <v>44</v>
      </c>
      <c r="N74" t="s">
        <v>66</v>
      </c>
      <c r="O74" t="s">
        <v>144</v>
      </c>
      <c r="P74" t="s">
        <v>145</v>
      </c>
      <c r="Q74" t="s">
        <v>46</v>
      </c>
      <c r="R74" s="1">
        <v>45595</v>
      </c>
      <c r="S74" t="s">
        <v>34</v>
      </c>
      <c r="T74" t="s">
        <v>47</v>
      </c>
      <c r="U74" t="s">
        <v>48</v>
      </c>
      <c r="V74" s="1">
        <v>45622</v>
      </c>
      <c r="W74" t="s">
        <v>49</v>
      </c>
      <c r="AB74" s="2">
        <f t="shared" si="15"/>
        <v>1</v>
      </c>
      <c r="AC74">
        <f t="shared" si="16"/>
        <v>0</v>
      </c>
      <c r="AD74">
        <f t="shared" si="17"/>
        <v>2</v>
      </c>
      <c r="AE74" t="str">
        <f t="shared" si="18"/>
        <v>OK</v>
      </c>
      <c r="AF74" t="str">
        <f t="shared" si="19"/>
        <v>OK</v>
      </c>
      <c r="AG74" t="str">
        <f t="shared" si="20"/>
        <v>OK</v>
      </c>
      <c r="AI74" t="str">
        <f t="shared" si="21"/>
        <v>ERROR</v>
      </c>
      <c r="AJ74" t="str">
        <f t="shared" si="22"/>
        <v>OK</v>
      </c>
      <c r="AK74" t="str">
        <f t="shared" si="23"/>
        <v>OK</v>
      </c>
      <c r="AL74" t="str">
        <f t="shared" si="24"/>
        <v>OK</v>
      </c>
      <c r="AM74" t="str">
        <f t="shared" si="25"/>
        <v>OK</v>
      </c>
      <c r="AN74" t="str">
        <f t="shared" si="26"/>
        <v>OK</v>
      </c>
      <c r="AO74" t="str">
        <f t="shared" si="27"/>
        <v>OK</v>
      </c>
      <c r="AP74" t="str">
        <f t="shared" si="28"/>
        <v>OK</v>
      </c>
      <c r="AQ74" t="str">
        <f t="shared" si="29"/>
        <v>OK</v>
      </c>
    </row>
    <row r="75" spans="1:43" x14ac:dyDescent="0.3">
      <c r="A75" t="s">
        <v>388</v>
      </c>
      <c r="B75" s="1">
        <v>45583</v>
      </c>
      <c r="C75" t="s">
        <v>389</v>
      </c>
      <c r="D75" t="s">
        <v>39</v>
      </c>
      <c r="E75" t="s">
        <v>390</v>
      </c>
      <c r="F75" t="s">
        <v>72</v>
      </c>
      <c r="G75" t="s">
        <v>391</v>
      </c>
      <c r="H75">
        <v>299</v>
      </c>
      <c r="I75">
        <v>5</v>
      </c>
      <c r="J75">
        <v>1495</v>
      </c>
      <c r="K75" t="s">
        <v>29</v>
      </c>
      <c r="L75">
        <v>0</v>
      </c>
      <c r="M75" t="s">
        <v>30</v>
      </c>
      <c r="N75" t="s">
        <v>45</v>
      </c>
      <c r="O75" t="s">
        <v>151</v>
      </c>
      <c r="P75" t="s">
        <v>152</v>
      </c>
      <c r="Q75" t="s">
        <v>32</v>
      </c>
      <c r="R75" s="1">
        <v>45592</v>
      </c>
      <c r="S75" t="s">
        <v>34</v>
      </c>
      <c r="T75" t="s">
        <v>35</v>
      </c>
      <c r="U75" t="s">
        <v>29</v>
      </c>
      <c r="V75" s="1"/>
      <c r="W75" t="s">
        <v>36</v>
      </c>
      <c r="AB75" s="2">
        <f t="shared" si="15"/>
        <v>1</v>
      </c>
      <c r="AC75">
        <f t="shared" si="16"/>
        <v>0</v>
      </c>
      <c r="AD75">
        <f t="shared" si="17"/>
        <v>2</v>
      </c>
      <c r="AE75" t="str">
        <f t="shared" si="18"/>
        <v>OK</v>
      </c>
      <c r="AF75" t="str">
        <f t="shared" si="19"/>
        <v>OK</v>
      </c>
      <c r="AG75" t="str">
        <f t="shared" si="20"/>
        <v>OK</v>
      </c>
      <c r="AI75" t="str">
        <f t="shared" si="21"/>
        <v>ERROR</v>
      </c>
      <c r="AJ75" t="str">
        <f t="shared" si="22"/>
        <v>OK</v>
      </c>
      <c r="AK75" t="str">
        <f t="shared" si="23"/>
        <v>OK</v>
      </c>
      <c r="AL75" t="str">
        <f t="shared" si="24"/>
        <v>OK</v>
      </c>
      <c r="AM75" t="str">
        <f t="shared" si="25"/>
        <v>ERROR</v>
      </c>
      <c r="AN75" t="str">
        <f t="shared" si="26"/>
        <v>OK</v>
      </c>
      <c r="AO75" t="str">
        <f t="shared" si="27"/>
        <v>OK</v>
      </c>
      <c r="AP75" t="str">
        <f t="shared" si="28"/>
        <v>OK</v>
      </c>
      <c r="AQ75" t="str">
        <f t="shared" si="29"/>
        <v>OK</v>
      </c>
    </row>
    <row r="76" spans="1:43" x14ac:dyDescent="0.3">
      <c r="A76" t="s">
        <v>392</v>
      </c>
      <c r="B76" s="1">
        <v>45583</v>
      </c>
      <c r="C76" t="s">
        <v>393</v>
      </c>
      <c r="D76" t="s">
        <v>25</v>
      </c>
      <c r="E76" t="s">
        <v>394</v>
      </c>
      <c r="F76" t="s">
        <v>54</v>
      </c>
      <c r="G76" t="s">
        <v>395</v>
      </c>
      <c r="H76">
        <v>1899</v>
      </c>
      <c r="I76">
        <v>1</v>
      </c>
      <c r="J76">
        <v>1899</v>
      </c>
      <c r="K76" t="s">
        <v>29</v>
      </c>
      <c r="L76">
        <v>0</v>
      </c>
      <c r="M76" t="s">
        <v>65</v>
      </c>
      <c r="N76" t="s">
        <v>31</v>
      </c>
      <c r="O76" t="s">
        <v>157</v>
      </c>
      <c r="P76" t="s">
        <v>98</v>
      </c>
      <c r="Q76" t="s">
        <v>32</v>
      </c>
      <c r="R76" s="1">
        <v>45595</v>
      </c>
      <c r="S76" t="s">
        <v>34</v>
      </c>
      <c r="T76" t="s">
        <v>47</v>
      </c>
      <c r="U76" t="s">
        <v>105</v>
      </c>
      <c r="V76" s="1">
        <v>45624</v>
      </c>
      <c r="W76" t="s">
        <v>49</v>
      </c>
      <c r="AB76" s="2">
        <f t="shared" si="15"/>
        <v>1</v>
      </c>
      <c r="AC76">
        <f t="shared" si="16"/>
        <v>0</v>
      </c>
      <c r="AD76">
        <f t="shared" si="17"/>
        <v>2</v>
      </c>
      <c r="AE76" t="str">
        <f t="shared" si="18"/>
        <v>OK</v>
      </c>
      <c r="AF76" t="str">
        <f t="shared" si="19"/>
        <v>OK</v>
      </c>
      <c r="AG76" t="str">
        <f t="shared" si="20"/>
        <v>OK</v>
      </c>
      <c r="AI76" t="str">
        <f t="shared" si="21"/>
        <v>ERROR</v>
      </c>
      <c r="AJ76" t="str">
        <f t="shared" si="22"/>
        <v>OK</v>
      </c>
      <c r="AK76" t="str">
        <f t="shared" si="23"/>
        <v>OK</v>
      </c>
      <c r="AL76" t="str">
        <f t="shared" si="24"/>
        <v>OK</v>
      </c>
      <c r="AM76" t="str">
        <f t="shared" si="25"/>
        <v>OK</v>
      </c>
      <c r="AN76" t="str">
        <f t="shared" si="26"/>
        <v>OK</v>
      </c>
      <c r="AO76" t="str">
        <f t="shared" si="27"/>
        <v>OK</v>
      </c>
      <c r="AP76" t="str">
        <f t="shared" si="28"/>
        <v>OK</v>
      </c>
      <c r="AQ76" t="str">
        <f t="shared" si="29"/>
        <v>OK</v>
      </c>
    </row>
    <row r="77" spans="1:43" x14ac:dyDescent="0.3">
      <c r="A77" t="s">
        <v>396</v>
      </c>
      <c r="B77" s="1">
        <v>45584</v>
      </c>
      <c r="C77" t="s">
        <v>397</v>
      </c>
      <c r="D77" t="s">
        <v>25</v>
      </c>
      <c r="E77" t="s">
        <v>398</v>
      </c>
      <c r="F77" t="s">
        <v>41</v>
      </c>
      <c r="G77" t="s">
        <v>399</v>
      </c>
      <c r="H77">
        <v>2199</v>
      </c>
      <c r="I77">
        <v>1</v>
      </c>
      <c r="J77">
        <v>2199</v>
      </c>
      <c r="K77" t="s">
        <v>29</v>
      </c>
      <c r="L77">
        <v>0</v>
      </c>
      <c r="M77" t="s">
        <v>44</v>
      </c>
      <c r="N77" t="s">
        <v>66</v>
      </c>
      <c r="O77" t="s">
        <v>162</v>
      </c>
      <c r="P77" t="s">
        <v>163</v>
      </c>
      <c r="Q77" t="s">
        <v>46</v>
      </c>
      <c r="R77" s="1">
        <v>45596</v>
      </c>
      <c r="S77" t="s">
        <v>34</v>
      </c>
      <c r="T77" t="s">
        <v>35</v>
      </c>
      <c r="U77" t="s">
        <v>29</v>
      </c>
      <c r="V77" s="1"/>
      <c r="W77" t="s">
        <v>36</v>
      </c>
      <c r="AB77" s="2">
        <f t="shared" si="15"/>
        <v>1</v>
      </c>
      <c r="AC77">
        <f t="shared" si="16"/>
        <v>0</v>
      </c>
      <c r="AD77">
        <f t="shared" si="17"/>
        <v>2</v>
      </c>
      <c r="AE77" t="str">
        <f t="shared" si="18"/>
        <v>OK</v>
      </c>
      <c r="AF77" t="str">
        <f t="shared" si="19"/>
        <v>OK</v>
      </c>
      <c r="AG77" t="str">
        <f t="shared" si="20"/>
        <v>OK</v>
      </c>
      <c r="AI77" t="str">
        <f t="shared" si="21"/>
        <v>ERROR</v>
      </c>
      <c r="AJ77" t="str">
        <f t="shared" si="22"/>
        <v>OK</v>
      </c>
      <c r="AK77" t="str">
        <f t="shared" si="23"/>
        <v>OK</v>
      </c>
      <c r="AL77" t="str">
        <f t="shared" si="24"/>
        <v>OK</v>
      </c>
      <c r="AM77" t="str">
        <f t="shared" si="25"/>
        <v>ERROR</v>
      </c>
      <c r="AN77" t="str">
        <f t="shared" si="26"/>
        <v>OK</v>
      </c>
      <c r="AO77" t="str">
        <f t="shared" si="27"/>
        <v>OK</v>
      </c>
      <c r="AP77" t="str">
        <f t="shared" si="28"/>
        <v>OK</v>
      </c>
      <c r="AQ77" t="str">
        <f t="shared" si="29"/>
        <v>OK</v>
      </c>
    </row>
    <row r="78" spans="1:43" x14ac:dyDescent="0.3">
      <c r="A78" t="s">
        <v>400</v>
      </c>
      <c r="B78" s="1">
        <v>45584</v>
      </c>
      <c r="C78" t="s">
        <v>401</v>
      </c>
      <c r="D78" t="s">
        <v>25</v>
      </c>
      <c r="E78" t="s">
        <v>402</v>
      </c>
      <c r="F78" t="s">
        <v>27</v>
      </c>
      <c r="G78" t="s">
        <v>403</v>
      </c>
      <c r="H78">
        <v>1799</v>
      </c>
      <c r="I78">
        <v>1</v>
      </c>
      <c r="J78">
        <v>1799</v>
      </c>
      <c r="K78" t="s">
        <v>111</v>
      </c>
      <c r="L78">
        <v>10</v>
      </c>
      <c r="M78" t="s">
        <v>56</v>
      </c>
      <c r="N78" t="s">
        <v>45</v>
      </c>
      <c r="O78" t="s">
        <v>168</v>
      </c>
      <c r="P78" t="s">
        <v>152</v>
      </c>
      <c r="Q78" t="s">
        <v>32</v>
      </c>
      <c r="R78" s="1">
        <v>45594</v>
      </c>
      <c r="S78" t="s">
        <v>34</v>
      </c>
      <c r="T78" t="s">
        <v>47</v>
      </c>
      <c r="U78" t="s">
        <v>69</v>
      </c>
      <c r="V78" s="1">
        <v>45621</v>
      </c>
      <c r="W78" t="s">
        <v>49</v>
      </c>
      <c r="AB78" s="2">
        <f t="shared" si="15"/>
        <v>1</v>
      </c>
      <c r="AC78">
        <f t="shared" si="16"/>
        <v>0</v>
      </c>
      <c r="AD78">
        <f t="shared" si="17"/>
        <v>2</v>
      </c>
      <c r="AE78" t="str">
        <f t="shared" si="18"/>
        <v>OK</v>
      </c>
      <c r="AF78" t="str">
        <f t="shared" si="19"/>
        <v>OK</v>
      </c>
      <c r="AG78" t="str">
        <f t="shared" si="20"/>
        <v>OK</v>
      </c>
      <c r="AI78" t="str">
        <f t="shared" si="21"/>
        <v>ERROR</v>
      </c>
      <c r="AJ78" t="str">
        <f t="shared" si="22"/>
        <v>OK</v>
      </c>
      <c r="AK78" t="str">
        <f t="shared" si="23"/>
        <v>OK</v>
      </c>
      <c r="AL78" t="str">
        <f t="shared" si="24"/>
        <v>OK</v>
      </c>
      <c r="AM78" t="str">
        <f t="shared" si="25"/>
        <v>OK</v>
      </c>
      <c r="AN78" t="str">
        <f t="shared" si="26"/>
        <v>OK</v>
      </c>
      <c r="AO78" t="str">
        <f t="shared" si="27"/>
        <v>OK</v>
      </c>
      <c r="AP78" t="str">
        <f t="shared" si="28"/>
        <v>OK</v>
      </c>
      <c r="AQ78" t="str">
        <f t="shared" si="29"/>
        <v>OK</v>
      </c>
    </row>
    <row r="79" spans="1:43" x14ac:dyDescent="0.3">
      <c r="A79" t="s">
        <v>404</v>
      </c>
      <c r="B79" s="1">
        <v>45584</v>
      </c>
      <c r="C79" t="s">
        <v>405</v>
      </c>
      <c r="D79" t="s">
        <v>39</v>
      </c>
      <c r="E79" t="s">
        <v>406</v>
      </c>
      <c r="F79" t="s">
        <v>62</v>
      </c>
      <c r="G79" t="s">
        <v>407</v>
      </c>
      <c r="H79">
        <v>4999</v>
      </c>
      <c r="I79">
        <v>1</v>
      </c>
      <c r="J79">
        <v>4999</v>
      </c>
      <c r="K79" t="s">
        <v>29</v>
      </c>
      <c r="L79">
        <v>0</v>
      </c>
      <c r="M79" t="s">
        <v>30</v>
      </c>
      <c r="N79" t="s">
        <v>31</v>
      </c>
      <c r="O79" t="s">
        <v>173</v>
      </c>
      <c r="P79" t="s">
        <v>33</v>
      </c>
      <c r="Q79" t="s">
        <v>32</v>
      </c>
      <c r="R79" s="1">
        <v>45597</v>
      </c>
      <c r="S79" t="s">
        <v>34</v>
      </c>
      <c r="T79" t="s">
        <v>35</v>
      </c>
      <c r="U79" t="s">
        <v>29</v>
      </c>
      <c r="V79" s="1"/>
      <c r="W79" t="s">
        <v>36</v>
      </c>
      <c r="AB79" s="2">
        <f t="shared" si="15"/>
        <v>1</v>
      </c>
      <c r="AC79">
        <f t="shared" si="16"/>
        <v>0</v>
      </c>
      <c r="AD79">
        <f t="shared" si="17"/>
        <v>2</v>
      </c>
      <c r="AE79" t="str">
        <f t="shared" si="18"/>
        <v>OK</v>
      </c>
      <c r="AF79" t="str">
        <f t="shared" si="19"/>
        <v>OK</v>
      </c>
      <c r="AG79" t="str">
        <f t="shared" si="20"/>
        <v>OK</v>
      </c>
      <c r="AI79" t="str">
        <f t="shared" si="21"/>
        <v>ERROR</v>
      </c>
      <c r="AJ79" t="str">
        <f t="shared" si="22"/>
        <v>OK</v>
      </c>
      <c r="AK79" t="str">
        <f t="shared" si="23"/>
        <v>OK</v>
      </c>
      <c r="AL79" t="str">
        <f t="shared" si="24"/>
        <v>OK</v>
      </c>
      <c r="AM79" t="str">
        <f t="shared" si="25"/>
        <v>ERROR</v>
      </c>
      <c r="AN79" t="str">
        <f t="shared" si="26"/>
        <v>OK</v>
      </c>
      <c r="AO79" t="str">
        <f t="shared" si="27"/>
        <v>OK</v>
      </c>
      <c r="AP79" t="str">
        <f t="shared" si="28"/>
        <v>OK</v>
      </c>
      <c r="AQ79" t="str">
        <f t="shared" si="29"/>
        <v>OK</v>
      </c>
    </row>
    <row r="80" spans="1:43" x14ac:dyDescent="0.3">
      <c r="A80" t="s">
        <v>408</v>
      </c>
      <c r="B80" s="1">
        <v>45584</v>
      </c>
      <c r="C80" t="s">
        <v>409</v>
      </c>
      <c r="D80" t="s">
        <v>25</v>
      </c>
      <c r="E80" t="s">
        <v>410</v>
      </c>
      <c r="F80" t="s">
        <v>72</v>
      </c>
      <c r="G80" t="s">
        <v>411</v>
      </c>
      <c r="H80">
        <v>999</v>
      </c>
      <c r="I80">
        <v>1</v>
      </c>
      <c r="J80">
        <v>999</v>
      </c>
      <c r="K80" t="s">
        <v>29</v>
      </c>
      <c r="L80">
        <v>0</v>
      </c>
      <c r="M80" t="s">
        <v>112</v>
      </c>
      <c r="N80" t="s">
        <v>66</v>
      </c>
      <c r="O80" t="s">
        <v>178</v>
      </c>
      <c r="P80" t="s">
        <v>68</v>
      </c>
      <c r="Q80" t="s">
        <v>57</v>
      </c>
      <c r="R80" s="1">
        <v>45595</v>
      </c>
      <c r="S80" t="s">
        <v>34</v>
      </c>
      <c r="T80" t="s">
        <v>47</v>
      </c>
      <c r="U80" t="s">
        <v>48</v>
      </c>
      <c r="V80" s="1">
        <v>45624</v>
      </c>
      <c r="W80" t="s">
        <v>49</v>
      </c>
      <c r="AB80" s="2">
        <f t="shared" si="15"/>
        <v>1</v>
      </c>
      <c r="AC80">
        <f t="shared" si="16"/>
        <v>0</v>
      </c>
      <c r="AD80">
        <f t="shared" si="17"/>
        <v>2</v>
      </c>
      <c r="AE80" t="str">
        <f t="shared" si="18"/>
        <v>OK</v>
      </c>
      <c r="AF80" t="str">
        <f t="shared" si="19"/>
        <v>OK</v>
      </c>
      <c r="AG80" t="str">
        <f t="shared" si="20"/>
        <v>OK</v>
      </c>
      <c r="AI80" t="str">
        <f t="shared" si="21"/>
        <v>ERROR</v>
      </c>
      <c r="AJ80" t="str">
        <f t="shared" si="22"/>
        <v>OK</v>
      </c>
      <c r="AK80" t="str">
        <f t="shared" si="23"/>
        <v>OK</v>
      </c>
      <c r="AL80" t="str">
        <f t="shared" si="24"/>
        <v>OK</v>
      </c>
      <c r="AM80" t="str">
        <f t="shared" si="25"/>
        <v>OK</v>
      </c>
      <c r="AN80" t="str">
        <f t="shared" si="26"/>
        <v>OK</v>
      </c>
      <c r="AO80" t="str">
        <f t="shared" si="27"/>
        <v>OK</v>
      </c>
      <c r="AP80" t="str">
        <f t="shared" si="28"/>
        <v>OK</v>
      </c>
      <c r="AQ80" t="str">
        <f t="shared" si="29"/>
        <v>OK</v>
      </c>
    </row>
    <row r="81" spans="1:43" x14ac:dyDescent="0.3">
      <c r="A81" t="s">
        <v>412</v>
      </c>
      <c r="B81" s="1">
        <v>45585</v>
      </c>
      <c r="C81" t="s">
        <v>413</v>
      </c>
      <c r="D81" t="s">
        <v>25</v>
      </c>
      <c r="E81" t="s">
        <v>414</v>
      </c>
      <c r="F81" t="s">
        <v>54</v>
      </c>
      <c r="G81" t="s">
        <v>415</v>
      </c>
      <c r="H81">
        <v>1499</v>
      </c>
      <c r="I81">
        <v>1</v>
      </c>
      <c r="J81">
        <v>1499</v>
      </c>
      <c r="K81" t="s">
        <v>43</v>
      </c>
      <c r="L81">
        <v>20</v>
      </c>
      <c r="M81" t="s">
        <v>44</v>
      </c>
      <c r="N81" t="s">
        <v>45</v>
      </c>
      <c r="O81" t="s">
        <v>183</v>
      </c>
      <c r="P81" t="s">
        <v>184</v>
      </c>
      <c r="Q81" t="s">
        <v>57</v>
      </c>
      <c r="R81" s="1">
        <v>45596</v>
      </c>
      <c r="S81" t="s">
        <v>34</v>
      </c>
      <c r="T81" t="s">
        <v>35</v>
      </c>
      <c r="U81" t="s">
        <v>29</v>
      </c>
      <c r="V81" s="1"/>
      <c r="W81" t="s">
        <v>36</v>
      </c>
      <c r="AB81" s="2">
        <f t="shared" si="15"/>
        <v>1</v>
      </c>
      <c r="AC81">
        <f t="shared" si="16"/>
        <v>0</v>
      </c>
      <c r="AD81">
        <f t="shared" si="17"/>
        <v>2</v>
      </c>
      <c r="AE81" t="str">
        <f t="shared" si="18"/>
        <v>OK</v>
      </c>
      <c r="AF81" t="str">
        <f t="shared" si="19"/>
        <v>OK</v>
      </c>
      <c r="AG81" t="str">
        <f t="shared" si="20"/>
        <v>OK</v>
      </c>
      <c r="AI81" t="str">
        <f t="shared" si="21"/>
        <v>ERROR</v>
      </c>
      <c r="AJ81" t="str">
        <f t="shared" si="22"/>
        <v>OK</v>
      </c>
      <c r="AK81" t="str">
        <f t="shared" si="23"/>
        <v>OK</v>
      </c>
      <c r="AL81" t="str">
        <f t="shared" si="24"/>
        <v>OK</v>
      </c>
      <c r="AM81" t="str">
        <f t="shared" si="25"/>
        <v>ERROR</v>
      </c>
      <c r="AN81" t="str">
        <f t="shared" si="26"/>
        <v>OK</v>
      </c>
      <c r="AO81" t="str">
        <f t="shared" si="27"/>
        <v>OK</v>
      </c>
      <c r="AP81" t="str">
        <f t="shared" si="28"/>
        <v>OK</v>
      </c>
      <c r="AQ81" t="str">
        <f t="shared" si="29"/>
        <v>OK</v>
      </c>
    </row>
    <row r="82" spans="1:43" x14ac:dyDescent="0.3">
      <c r="A82" t="s">
        <v>416</v>
      </c>
      <c r="B82" s="1">
        <v>45585</v>
      </c>
      <c r="C82" t="s">
        <v>417</v>
      </c>
      <c r="D82" t="s">
        <v>25</v>
      </c>
      <c r="E82" t="s">
        <v>418</v>
      </c>
      <c r="F82" t="s">
        <v>41</v>
      </c>
      <c r="G82" t="s">
        <v>419</v>
      </c>
      <c r="H82">
        <v>2899</v>
      </c>
      <c r="I82">
        <v>1</v>
      </c>
      <c r="J82">
        <v>2899</v>
      </c>
      <c r="K82" t="s">
        <v>29</v>
      </c>
      <c r="L82">
        <v>0</v>
      </c>
      <c r="M82" t="s">
        <v>65</v>
      </c>
      <c r="N82" t="s">
        <v>31</v>
      </c>
      <c r="O82" t="s">
        <v>189</v>
      </c>
      <c r="P82" t="s">
        <v>190</v>
      </c>
      <c r="Q82" t="s">
        <v>57</v>
      </c>
      <c r="R82" s="1">
        <v>45598</v>
      </c>
      <c r="S82" t="s">
        <v>34</v>
      </c>
      <c r="T82" t="s">
        <v>47</v>
      </c>
      <c r="U82" t="s">
        <v>80</v>
      </c>
      <c r="V82" s="1">
        <v>45626</v>
      </c>
      <c r="W82" t="s">
        <v>49</v>
      </c>
      <c r="AB82" s="2">
        <f t="shared" si="15"/>
        <v>1</v>
      </c>
      <c r="AC82">
        <f t="shared" si="16"/>
        <v>0</v>
      </c>
      <c r="AD82">
        <f t="shared" si="17"/>
        <v>2</v>
      </c>
      <c r="AE82" t="str">
        <f t="shared" si="18"/>
        <v>OK</v>
      </c>
      <c r="AF82" t="str">
        <f t="shared" si="19"/>
        <v>OK</v>
      </c>
      <c r="AG82" t="str">
        <f t="shared" si="20"/>
        <v>OK</v>
      </c>
      <c r="AI82" t="str">
        <f t="shared" si="21"/>
        <v>ERROR</v>
      </c>
      <c r="AJ82" t="str">
        <f t="shared" si="22"/>
        <v>OK</v>
      </c>
      <c r="AK82" t="str">
        <f t="shared" si="23"/>
        <v>OK</v>
      </c>
      <c r="AL82" t="str">
        <f t="shared" si="24"/>
        <v>OK</v>
      </c>
      <c r="AM82" t="str">
        <f t="shared" si="25"/>
        <v>OK</v>
      </c>
      <c r="AN82" t="str">
        <f t="shared" si="26"/>
        <v>OK</v>
      </c>
      <c r="AO82" t="str">
        <f t="shared" si="27"/>
        <v>OK</v>
      </c>
      <c r="AP82" t="str">
        <f t="shared" si="28"/>
        <v>OK</v>
      </c>
      <c r="AQ82" t="str">
        <f t="shared" si="29"/>
        <v>OK</v>
      </c>
    </row>
    <row r="83" spans="1:43" x14ac:dyDescent="0.3">
      <c r="A83" t="s">
        <v>420</v>
      </c>
      <c r="B83" s="1">
        <v>45585</v>
      </c>
      <c r="C83" t="s">
        <v>421</v>
      </c>
      <c r="D83" t="s">
        <v>39</v>
      </c>
      <c r="E83" t="s">
        <v>422</v>
      </c>
      <c r="F83" t="s">
        <v>27</v>
      </c>
      <c r="G83" t="s">
        <v>423</v>
      </c>
      <c r="H83">
        <v>1099</v>
      </c>
      <c r="I83">
        <v>2</v>
      </c>
      <c r="J83">
        <v>2198</v>
      </c>
      <c r="K83" t="s">
        <v>29</v>
      </c>
      <c r="L83">
        <v>0</v>
      </c>
      <c r="M83" t="s">
        <v>30</v>
      </c>
      <c r="N83" t="s">
        <v>66</v>
      </c>
      <c r="O83" t="s">
        <v>195</v>
      </c>
      <c r="P83" t="s">
        <v>184</v>
      </c>
      <c r="Q83" t="s">
        <v>57</v>
      </c>
      <c r="R83" s="1">
        <v>45595</v>
      </c>
      <c r="S83" t="s">
        <v>34</v>
      </c>
      <c r="T83" t="s">
        <v>35</v>
      </c>
      <c r="U83" t="s">
        <v>29</v>
      </c>
      <c r="V83" s="1"/>
      <c r="W83" t="s">
        <v>36</v>
      </c>
      <c r="AB83" s="2">
        <f t="shared" si="15"/>
        <v>1</v>
      </c>
      <c r="AC83">
        <f t="shared" si="16"/>
        <v>0</v>
      </c>
      <c r="AD83">
        <f t="shared" si="17"/>
        <v>2</v>
      </c>
      <c r="AE83" t="str">
        <f t="shared" si="18"/>
        <v>OK</v>
      </c>
      <c r="AF83" t="str">
        <f t="shared" si="19"/>
        <v>OK</v>
      </c>
      <c r="AG83" t="str">
        <f t="shared" si="20"/>
        <v>OK</v>
      </c>
      <c r="AI83" t="str">
        <f t="shared" si="21"/>
        <v>ERROR</v>
      </c>
      <c r="AJ83" t="str">
        <f t="shared" si="22"/>
        <v>OK</v>
      </c>
      <c r="AK83" t="str">
        <f t="shared" si="23"/>
        <v>OK</v>
      </c>
      <c r="AL83" t="str">
        <f t="shared" si="24"/>
        <v>OK</v>
      </c>
      <c r="AM83" t="str">
        <f t="shared" si="25"/>
        <v>ERROR</v>
      </c>
      <c r="AN83" t="str">
        <f t="shared" si="26"/>
        <v>OK</v>
      </c>
      <c r="AO83" t="str">
        <f t="shared" si="27"/>
        <v>OK</v>
      </c>
      <c r="AP83" t="str">
        <f t="shared" si="28"/>
        <v>OK</v>
      </c>
      <c r="AQ83" t="str">
        <f t="shared" si="29"/>
        <v>OK</v>
      </c>
    </row>
    <row r="84" spans="1:43" x14ac:dyDescent="0.3">
      <c r="A84" t="s">
        <v>424</v>
      </c>
      <c r="B84" s="1">
        <v>45585</v>
      </c>
      <c r="C84" t="s">
        <v>425</v>
      </c>
      <c r="D84" t="s">
        <v>25</v>
      </c>
      <c r="E84" t="s">
        <v>426</v>
      </c>
      <c r="F84" t="s">
        <v>62</v>
      </c>
      <c r="G84" t="s">
        <v>199</v>
      </c>
      <c r="H84">
        <v>5499</v>
      </c>
      <c r="I84">
        <v>1</v>
      </c>
      <c r="J84">
        <v>5499</v>
      </c>
      <c r="K84" t="s">
        <v>64</v>
      </c>
      <c r="L84">
        <v>15</v>
      </c>
      <c r="M84" t="s">
        <v>44</v>
      </c>
      <c r="N84" t="s">
        <v>45</v>
      </c>
      <c r="O84" t="s">
        <v>200</v>
      </c>
      <c r="P84" t="s">
        <v>58</v>
      </c>
      <c r="Q84" t="s">
        <v>57</v>
      </c>
      <c r="R84" s="1">
        <v>45599</v>
      </c>
      <c r="S84" t="s">
        <v>34</v>
      </c>
      <c r="T84" t="s">
        <v>47</v>
      </c>
      <c r="U84" t="s">
        <v>48</v>
      </c>
      <c r="V84" s="1">
        <v>45627</v>
      </c>
      <c r="W84" t="s">
        <v>49</v>
      </c>
      <c r="AB84" s="2">
        <f t="shared" si="15"/>
        <v>1</v>
      </c>
      <c r="AC84">
        <f t="shared" si="16"/>
        <v>0</v>
      </c>
      <c r="AD84">
        <f t="shared" si="17"/>
        <v>2</v>
      </c>
      <c r="AE84" t="str">
        <f t="shared" si="18"/>
        <v>OK</v>
      </c>
      <c r="AF84" t="str">
        <f t="shared" si="19"/>
        <v>OK</v>
      </c>
      <c r="AG84" t="str">
        <f t="shared" si="20"/>
        <v>OK</v>
      </c>
      <c r="AI84" t="str">
        <f t="shared" si="21"/>
        <v>ERROR</v>
      </c>
      <c r="AJ84" t="str">
        <f t="shared" si="22"/>
        <v>OK</v>
      </c>
      <c r="AK84" t="str">
        <f t="shared" si="23"/>
        <v>OK</v>
      </c>
      <c r="AL84" t="str">
        <f t="shared" si="24"/>
        <v>OK</v>
      </c>
      <c r="AM84" t="str">
        <f t="shared" si="25"/>
        <v>OK</v>
      </c>
      <c r="AN84" t="str">
        <f t="shared" si="26"/>
        <v>OK</v>
      </c>
      <c r="AO84" t="str">
        <f t="shared" si="27"/>
        <v>OK</v>
      </c>
      <c r="AP84" t="str">
        <f t="shared" si="28"/>
        <v>OK</v>
      </c>
      <c r="AQ84" t="str">
        <f t="shared" si="29"/>
        <v>OK</v>
      </c>
    </row>
    <row r="85" spans="1:43" x14ac:dyDescent="0.3">
      <c r="A85" t="s">
        <v>427</v>
      </c>
      <c r="B85" s="1">
        <v>45586</v>
      </c>
      <c r="C85" t="s">
        <v>428</v>
      </c>
      <c r="D85" t="s">
        <v>25</v>
      </c>
      <c r="E85" t="s">
        <v>429</v>
      </c>
      <c r="F85" t="s">
        <v>72</v>
      </c>
      <c r="G85" t="s">
        <v>430</v>
      </c>
      <c r="H85">
        <v>799</v>
      </c>
      <c r="I85">
        <v>1</v>
      </c>
      <c r="J85">
        <v>799</v>
      </c>
      <c r="K85" t="s">
        <v>29</v>
      </c>
      <c r="L85">
        <v>0</v>
      </c>
      <c r="M85" t="s">
        <v>56</v>
      </c>
      <c r="N85" t="s">
        <v>31</v>
      </c>
      <c r="O85" t="s">
        <v>205</v>
      </c>
      <c r="P85" t="s">
        <v>98</v>
      </c>
      <c r="Q85" t="s">
        <v>32</v>
      </c>
      <c r="R85" s="1"/>
      <c r="S85" t="s">
        <v>121</v>
      </c>
      <c r="T85" t="s">
        <v>35</v>
      </c>
      <c r="U85" t="s">
        <v>29</v>
      </c>
      <c r="V85" s="1"/>
      <c r="W85" t="s">
        <v>36</v>
      </c>
      <c r="AB85" s="2">
        <f t="shared" si="15"/>
        <v>1</v>
      </c>
      <c r="AC85">
        <f t="shared" si="16"/>
        <v>0</v>
      </c>
      <c r="AD85">
        <f t="shared" si="17"/>
        <v>2</v>
      </c>
      <c r="AE85" t="str">
        <f t="shared" si="18"/>
        <v>OK</v>
      </c>
      <c r="AF85" t="str">
        <f t="shared" si="19"/>
        <v>OK</v>
      </c>
      <c r="AG85" t="str">
        <f t="shared" si="20"/>
        <v>OK</v>
      </c>
      <c r="AI85" t="str">
        <f t="shared" si="21"/>
        <v>ERROR</v>
      </c>
      <c r="AJ85" t="str">
        <f t="shared" si="22"/>
        <v>ERROR</v>
      </c>
      <c r="AK85" t="str">
        <f t="shared" si="23"/>
        <v>OK</v>
      </c>
      <c r="AL85" t="str">
        <f t="shared" si="24"/>
        <v>OK</v>
      </c>
      <c r="AM85" t="str">
        <f t="shared" si="25"/>
        <v>OK</v>
      </c>
      <c r="AN85" t="str">
        <f t="shared" si="26"/>
        <v>OK</v>
      </c>
      <c r="AO85" t="str">
        <f t="shared" si="27"/>
        <v>OK</v>
      </c>
      <c r="AP85" t="str">
        <f t="shared" si="28"/>
        <v>OK</v>
      </c>
      <c r="AQ85" t="str">
        <f t="shared" si="29"/>
        <v>OK</v>
      </c>
    </row>
    <row r="86" spans="1:43" x14ac:dyDescent="0.3">
      <c r="A86" t="s">
        <v>431</v>
      </c>
      <c r="B86" s="1">
        <v>45586</v>
      </c>
      <c r="C86" t="s">
        <v>432</v>
      </c>
      <c r="D86" t="s">
        <v>25</v>
      </c>
      <c r="E86" t="s">
        <v>433</v>
      </c>
      <c r="F86" t="s">
        <v>54</v>
      </c>
      <c r="G86" t="s">
        <v>434</v>
      </c>
      <c r="H86">
        <v>1599</v>
      </c>
      <c r="I86">
        <v>1</v>
      </c>
      <c r="J86">
        <v>1599</v>
      </c>
      <c r="K86" t="s">
        <v>29</v>
      </c>
      <c r="L86">
        <v>0</v>
      </c>
      <c r="M86" t="s">
        <v>112</v>
      </c>
      <c r="N86" t="s">
        <v>66</v>
      </c>
      <c r="O86" t="s">
        <v>210</v>
      </c>
      <c r="P86" t="s">
        <v>98</v>
      </c>
      <c r="Q86" t="s">
        <v>32</v>
      </c>
      <c r="R86" s="1">
        <v>45598</v>
      </c>
      <c r="S86" t="s">
        <v>34</v>
      </c>
      <c r="T86" t="s">
        <v>35</v>
      </c>
      <c r="U86" t="s">
        <v>29</v>
      </c>
      <c r="V86" s="1"/>
      <c r="W86" t="s">
        <v>36</v>
      </c>
      <c r="AB86" s="2">
        <f t="shared" si="15"/>
        <v>1</v>
      </c>
      <c r="AC86">
        <f t="shared" si="16"/>
        <v>0</v>
      </c>
      <c r="AD86">
        <f t="shared" si="17"/>
        <v>2</v>
      </c>
      <c r="AE86" t="str">
        <f t="shared" si="18"/>
        <v>OK</v>
      </c>
      <c r="AF86" t="str">
        <f t="shared" si="19"/>
        <v>OK</v>
      </c>
      <c r="AG86" t="str">
        <f t="shared" si="20"/>
        <v>OK</v>
      </c>
      <c r="AI86" t="str">
        <f t="shared" si="21"/>
        <v>ERROR</v>
      </c>
      <c r="AJ86" t="str">
        <f t="shared" si="22"/>
        <v>OK</v>
      </c>
      <c r="AK86" t="str">
        <f t="shared" si="23"/>
        <v>OK</v>
      </c>
      <c r="AL86" t="str">
        <f t="shared" si="24"/>
        <v>OK</v>
      </c>
      <c r="AM86" t="str">
        <f t="shared" si="25"/>
        <v>ERROR</v>
      </c>
      <c r="AN86" t="str">
        <f t="shared" si="26"/>
        <v>OK</v>
      </c>
      <c r="AO86" t="str">
        <f t="shared" si="27"/>
        <v>OK</v>
      </c>
      <c r="AP86" t="str">
        <f t="shared" si="28"/>
        <v>OK</v>
      </c>
      <c r="AQ86" t="str">
        <f t="shared" si="29"/>
        <v>OK</v>
      </c>
    </row>
    <row r="87" spans="1:43" x14ac:dyDescent="0.3">
      <c r="A87" t="s">
        <v>435</v>
      </c>
      <c r="B87" s="1">
        <v>45586</v>
      </c>
      <c r="C87" t="s">
        <v>436</v>
      </c>
      <c r="D87" t="s">
        <v>39</v>
      </c>
      <c r="E87" t="s">
        <v>437</v>
      </c>
      <c r="F87" t="s">
        <v>41</v>
      </c>
      <c r="G87" t="s">
        <v>438</v>
      </c>
      <c r="H87">
        <v>2699</v>
      </c>
      <c r="I87">
        <v>1</v>
      </c>
      <c r="J87">
        <v>2699</v>
      </c>
      <c r="K87" t="s">
        <v>43</v>
      </c>
      <c r="L87">
        <v>20</v>
      </c>
      <c r="M87" t="s">
        <v>44</v>
      </c>
      <c r="N87" t="s">
        <v>45</v>
      </c>
      <c r="O87" t="s">
        <v>215</v>
      </c>
      <c r="P87" t="s">
        <v>114</v>
      </c>
      <c r="Q87" t="s">
        <v>46</v>
      </c>
      <c r="R87" s="1">
        <v>45597</v>
      </c>
      <c r="S87" t="s">
        <v>34</v>
      </c>
      <c r="T87" t="s">
        <v>47</v>
      </c>
      <c r="U87" t="s">
        <v>69</v>
      </c>
      <c r="V87" s="1">
        <v>45626</v>
      </c>
      <c r="W87" t="s">
        <v>49</v>
      </c>
      <c r="AB87" s="2">
        <f t="shared" si="15"/>
        <v>1</v>
      </c>
      <c r="AC87">
        <f t="shared" si="16"/>
        <v>0</v>
      </c>
      <c r="AD87">
        <f t="shared" si="17"/>
        <v>2</v>
      </c>
      <c r="AE87" t="str">
        <f t="shared" si="18"/>
        <v>OK</v>
      </c>
      <c r="AF87" t="str">
        <f t="shared" si="19"/>
        <v>OK</v>
      </c>
      <c r="AG87" t="str">
        <f t="shared" si="20"/>
        <v>OK</v>
      </c>
      <c r="AI87" t="str">
        <f t="shared" si="21"/>
        <v>ERROR</v>
      </c>
      <c r="AJ87" t="str">
        <f t="shared" si="22"/>
        <v>OK</v>
      </c>
      <c r="AK87" t="str">
        <f t="shared" si="23"/>
        <v>OK</v>
      </c>
      <c r="AL87" t="str">
        <f t="shared" si="24"/>
        <v>OK</v>
      </c>
      <c r="AM87" t="str">
        <f t="shared" si="25"/>
        <v>OK</v>
      </c>
      <c r="AN87" t="str">
        <f t="shared" si="26"/>
        <v>OK</v>
      </c>
      <c r="AO87" t="str">
        <f t="shared" si="27"/>
        <v>OK</v>
      </c>
      <c r="AP87" t="str">
        <f t="shared" si="28"/>
        <v>OK</v>
      </c>
      <c r="AQ87" t="str">
        <f t="shared" si="29"/>
        <v>OK</v>
      </c>
    </row>
    <row r="88" spans="1:43" x14ac:dyDescent="0.3">
      <c r="A88" t="s">
        <v>439</v>
      </c>
      <c r="B88" s="1">
        <v>45586</v>
      </c>
      <c r="C88" t="s">
        <v>440</v>
      </c>
      <c r="D88" t="s">
        <v>25</v>
      </c>
      <c r="E88" t="s">
        <v>441</v>
      </c>
      <c r="F88" t="s">
        <v>27</v>
      </c>
      <c r="G88" t="s">
        <v>442</v>
      </c>
      <c r="H88">
        <v>1499</v>
      </c>
      <c r="I88">
        <v>1</v>
      </c>
      <c r="J88">
        <v>1499</v>
      </c>
      <c r="K88" t="s">
        <v>29</v>
      </c>
      <c r="L88">
        <v>0</v>
      </c>
      <c r="M88" t="s">
        <v>30</v>
      </c>
      <c r="N88" t="s">
        <v>31</v>
      </c>
      <c r="O88" t="s">
        <v>32</v>
      </c>
      <c r="P88" t="s">
        <v>33</v>
      </c>
      <c r="Q88" t="s">
        <v>32</v>
      </c>
      <c r="R88" s="1">
        <v>45598</v>
      </c>
      <c r="S88" t="s">
        <v>34</v>
      </c>
      <c r="T88" t="s">
        <v>35</v>
      </c>
      <c r="U88" t="s">
        <v>29</v>
      </c>
      <c r="V88" s="1"/>
      <c r="W88" t="s">
        <v>36</v>
      </c>
      <c r="AB88" s="2">
        <f t="shared" si="15"/>
        <v>1</v>
      </c>
      <c r="AC88">
        <f t="shared" si="16"/>
        <v>0</v>
      </c>
      <c r="AD88">
        <f t="shared" si="17"/>
        <v>2</v>
      </c>
      <c r="AE88" t="str">
        <f t="shared" si="18"/>
        <v>OK</v>
      </c>
      <c r="AF88" t="str">
        <f t="shared" si="19"/>
        <v>OK</v>
      </c>
      <c r="AG88" t="str">
        <f t="shared" si="20"/>
        <v>OK</v>
      </c>
      <c r="AI88" t="str">
        <f t="shared" si="21"/>
        <v>ERROR</v>
      </c>
      <c r="AJ88" t="str">
        <f t="shared" si="22"/>
        <v>OK</v>
      </c>
      <c r="AK88" t="str">
        <f t="shared" si="23"/>
        <v>OK</v>
      </c>
      <c r="AL88" t="str">
        <f t="shared" si="24"/>
        <v>OK</v>
      </c>
      <c r="AM88" t="str">
        <f t="shared" si="25"/>
        <v>ERROR</v>
      </c>
      <c r="AN88" t="str">
        <f t="shared" si="26"/>
        <v>OK</v>
      </c>
      <c r="AO88" t="str">
        <f t="shared" si="27"/>
        <v>OK</v>
      </c>
      <c r="AP88" t="str">
        <f t="shared" si="28"/>
        <v>OK</v>
      </c>
      <c r="AQ88" t="str">
        <f t="shared" si="29"/>
        <v>OK</v>
      </c>
    </row>
    <row r="89" spans="1:43" x14ac:dyDescent="0.3">
      <c r="A89" t="s">
        <v>443</v>
      </c>
      <c r="B89" s="1">
        <v>45587</v>
      </c>
      <c r="C89" t="s">
        <v>444</v>
      </c>
      <c r="D89" t="s">
        <v>25</v>
      </c>
      <c r="E89" t="s">
        <v>445</v>
      </c>
      <c r="F89" t="s">
        <v>62</v>
      </c>
      <c r="G89" t="s">
        <v>446</v>
      </c>
      <c r="H89">
        <v>3299</v>
      </c>
      <c r="I89">
        <v>1</v>
      </c>
      <c r="J89">
        <v>3299</v>
      </c>
      <c r="K89" t="s">
        <v>29</v>
      </c>
      <c r="L89">
        <v>0</v>
      </c>
      <c r="M89" t="s">
        <v>65</v>
      </c>
      <c r="N89" t="s">
        <v>66</v>
      </c>
      <c r="O89" t="s">
        <v>46</v>
      </c>
      <c r="P89" t="s">
        <v>46</v>
      </c>
      <c r="Q89" t="s">
        <v>46</v>
      </c>
      <c r="R89" s="1">
        <v>45600</v>
      </c>
      <c r="S89" t="s">
        <v>34</v>
      </c>
      <c r="T89" t="s">
        <v>47</v>
      </c>
      <c r="U89" t="s">
        <v>105</v>
      </c>
      <c r="V89" s="1">
        <v>45629</v>
      </c>
      <c r="W89" t="s">
        <v>49</v>
      </c>
      <c r="AB89" s="2">
        <f t="shared" si="15"/>
        <v>1</v>
      </c>
      <c r="AC89">
        <f t="shared" si="16"/>
        <v>0</v>
      </c>
      <c r="AD89">
        <f t="shared" si="17"/>
        <v>2</v>
      </c>
      <c r="AE89" t="str">
        <f t="shared" si="18"/>
        <v>OK</v>
      </c>
      <c r="AF89" t="str">
        <f t="shared" si="19"/>
        <v>OK</v>
      </c>
      <c r="AG89" t="str">
        <f t="shared" si="20"/>
        <v>OK</v>
      </c>
      <c r="AI89" t="str">
        <f t="shared" si="21"/>
        <v>ERROR</v>
      </c>
      <c r="AJ89" t="str">
        <f t="shared" si="22"/>
        <v>OK</v>
      </c>
      <c r="AK89" t="str">
        <f t="shared" si="23"/>
        <v>OK</v>
      </c>
      <c r="AL89" t="str">
        <f t="shared" si="24"/>
        <v>OK</v>
      </c>
      <c r="AM89" t="str">
        <f t="shared" si="25"/>
        <v>OK</v>
      </c>
      <c r="AN89" t="str">
        <f t="shared" si="26"/>
        <v>OK</v>
      </c>
      <c r="AO89" t="str">
        <f t="shared" si="27"/>
        <v>OK</v>
      </c>
      <c r="AP89" t="str">
        <f t="shared" si="28"/>
        <v>OK</v>
      </c>
      <c r="AQ89" t="str">
        <f t="shared" si="29"/>
        <v>OK</v>
      </c>
    </row>
    <row r="90" spans="1:43" x14ac:dyDescent="0.3">
      <c r="A90" t="s">
        <v>447</v>
      </c>
      <c r="B90" s="1">
        <v>45587</v>
      </c>
      <c r="C90" t="s">
        <v>448</v>
      </c>
      <c r="D90" t="s">
        <v>25</v>
      </c>
      <c r="E90" t="s">
        <v>449</v>
      </c>
      <c r="F90" t="s">
        <v>72</v>
      </c>
      <c r="G90" t="s">
        <v>450</v>
      </c>
      <c r="H90">
        <v>499</v>
      </c>
      <c r="I90">
        <v>2</v>
      </c>
      <c r="J90">
        <v>998</v>
      </c>
      <c r="K90" t="s">
        <v>111</v>
      </c>
      <c r="L90">
        <v>10</v>
      </c>
      <c r="M90" t="s">
        <v>44</v>
      </c>
      <c r="N90" t="s">
        <v>45</v>
      </c>
      <c r="O90" t="s">
        <v>91</v>
      </c>
      <c r="P90" t="s">
        <v>92</v>
      </c>
      <c r="Q90" t="s">
        <v>46</v>
      </c>
      <c r="R90" s="1">
        <v>45597</v>
      </c>
      <c r="S90" t="s">
        <v>34</v>
      </c>
      <c r="T90" t="s">
        <v>35</v>
      </c>
      <c r="U90" t="s">
        <v>29</v>
      </c>
      <c r="V90" s="1"/>
      <c r="W90" t="s">
        <v>36</v>
      </c>
      <c r="AB90" s="2">
        <f t="shared" si="15"/>
        <v>1</v>
      </c>
      <c r="AC90">
        <f t="shared" si="16"/>
        <v>0</v>
      </c>
      <c r="AD90">
        <f t="shared" si="17"/>
        <v>2</v>
      </c>
      <c r="AE90" t="str">
        <f t="shared" si="18"/>
        <v>OK</v>
      </c>
      <c r="AF90" t="str">
        <f t="shared" si="19"/>
        <v>OK</v>
      </c>
      <c r="AG90" t="str">
        <f t="shared" si="20"/>
        <v>OK</v>
      </c>
      <c r="AI90" t="str">
        <f t="shared" si="21"/>
        <v>ERROR</v>
      </c>
      <c r="AJ90" t="str">
        <f t="shared" si="22"/>
        <v>OK</v>
      </c>
      <c r="AK90" t="str">
        <f t="shared" si="23"/>
        <v>OK</v>
      </c>
      <c r="AL90" t="str">
        <f t="shared" si="24"/>
        <v>OK</v>
      </c>
      <c r="AM90" t="str">
        <f t="shared" si="25"/>
        <v>ERROR</v>
      </c>
      <c r="AN90" t="str">
        <f t="shared" si="26"/>
        <v>OK</v>
      </c>
      <c r="AO90" t="str">
        <f t="shared" si="27"/>
        <v>OK</v>
      </c>
      <c r="AP90" t="str">
        <f t="shared" si="28"/>
        <v>OK</v>
      </c>
      <c r="AQ90" t="str">
        <f t="shared" si="29"/>
        <v>OK</v>
      </c>
    </row>
    <row r="91" spans="1:43" x14ac:dyDescent="0.3">
      <c r="A91" t="s">
        <v>451</v>
      </c>
      <c r="B91" s="1">
        <v>45587</v>
      </c>
      <c r="C91" t="s">
        <v>452</v>
      </c>
      <c r="D91" t="s">
        <v>39</v>
      </c>
      <c r="E91" t="s">
        <v>453</v>
      </c>
      <c r="F91" t="s">
        <v>54</v>
      </c>
      <c r="G91" t="s">
        <v>454</v>
      </c>
      <c r="H91">
        <v>2399</v>
      </c>
      <c r="I91">
        <v>1</v>
      </c>
      <c r="J91">
        <v>2399</v>
      </c>
      <c r="K91" t="s">
        <v>29</v>
      </c>
      <c r="L91">
        <v>0</v>
      </c>
      <c r="M91" t="s">
        <v>30</v>
      </c>
      <c r="N91" t="s">
        <v>31</v>
      </c>
      <c r="O91" t="s">
        <v>67</v>
      </c>
      <c r="P91" t="s">
        <v>68</v>
      </c>
      <c r="Q91" t="s">
        <v>57</v>
      </c>
      <c r="R91" s="1">
        <v>45599</v>
      </c>
      <c r="S91" t="s">
        <v>34</v>
      </c>
      <c r="T91" t="s">
        <v>35</v>
      </c>
      <c r="U91" t="s">
        <v>29</v>
      </c>
      <c r="V91" s="1"/>
      <c r="W91" t="s">
        <v>36</v>
      </c>
      <c r="AB91" s="2">
        <f t="shared" si="15"/>
        <v>1</v>
      </c>
      <c r="AC91">
        <f t="shared" si="16"/>
        <v>0</v>
      </c>
      <c r="AD91">
        <f t="shared" si="17"/>
        <v>2</v>
      </c>
      <c r="AE91" t="str">
        <f t="shared" si="18"/>
        <v>OK</v>
      </c>
      <c r="AF91" t="str">
        <f t="shared" si="19"/>
        <v>OK</v>
      </c>
      <c r="AG91" t="str">
        <f t="shared" si="20"/>
        <v>OK</v>
      </c>
      <c r="AI91" t="str">
        <f t="shared" si="21"/>
        <v>ERROR</v>
      </c>
      <c r="AJ91" t="str">
        <f t="shared" si="22"/>
        <v>OK</v>
      </c>
      <c r="AK91" t="str">
        <f t="shared" si="23"/>
        <v>OK</v>
      </c>
      <c r="AL91" t="str">
        <f t="shared" si="24"/>
        <v>OK</v>
      </c>
      <c r="AM91" t="str">
        <f t="shared" si="25"/>
        <v>ERROR</v>
      </c>
      <c r="AN91" t="str">
        <f t="shared" si="26"/>
        <v>OK</v>
      </c>
      <c r="AO91" t="str">
        <f t="shared" si="27"/>
        <v>OK</v>
      </c>
      <c r="AP91" t="str">
        <f t="shared" si="28"/>
        <v>OK</v>
      </c>
      <c r="AQ91" t="str">
        <f t="shared" si="29"/>
        <v>OK</v>
      </c>
    </row>
    <row r="92" spans="1:43" x14ac:dyDescent="0.3">
      <c r="A92" t="s">
        <v>455</v>
      </c>
      <c r="B92" s="1">
        <v>45587</v>
      </c>
      <c r="C92" t="s">
        <v>456</v>
      </c>
      <c r="D92" t="s">
        <v>25</v>
      </c>
      <c r="E92" t="s">
        <v>457</v>
      </c>
      <c r="F92" t="s">
        <v>41</v>
      </c>
      <c r="G92" t="s">
        <v>458</v>
      </c>
      <c r="H92">
        <v>2599</v>
      </c>
      <c r="I92">
        <v>1</v>
      </c>
      <c r="J92">
        <v>2599</v>
      </c>
      <c r="K92" t="s">
        <v>29</v>
      </c>
      <c r="L92">
        <v>0</v>
      </c>
      <c r="M92" t="s">
        <v>56</v>
      </c>
      <c r="N92" t="s">
        <v>66</v>
      </c>
      <c r="O92" t="s">
        <v>78</v>
      </c>
      <c r="P92" t="s">
        <v>79</v>
      </c>
      <c r="Q92" t="s">
        <v>57</v>
      </c>
      <c r="R92" s="1"/>
      <c r="S92" t="s">
        <v>121</v>
      </c>
      <c r="T92" t="s">
        <v>35</v>
      </c>
      <c r="U92" t="s">
        <v>29</v>
      </c>
      <c r="V92" s="1"/>
      <c r="W92" t="s">
        <v>36</v>
      </c>
      <c r="AB92" s="2">
        <f t="shared" si="15"/>
        <v>1</v>
      </c>
      <c r="AC92">
        <f t="shared" si="16"/>
        <v>0</v>
      </c>
      <c r="AD92">
        <f t="shared" si="17"/>
        <v>2</v>
      </c>
      <c r="AE92" t="str">
        <f t="shared" si="18"/>
        <v>OK</v>
      </c>
      <c r="AF92" t="str">
        <f t="shared" si="19"/>
        <v>OK</v>
      </c>
      <c r="AG92" t="str">
        <f t="shared" si="20"/>
        <v>OK</v>
      </c>
      <c r="AI92" t="str">
        <f t="shared" si="21"/>
        <v>ERROR</v>
      </c>
      <c r="AJ92" t="str">
        <f t="shared" si="22"/>
        <v>ERROR</v>
      </c>
      <c r="AK92" t="str">
        <f t="shared" si="23"/>
        <v>OK</v>
      </c>
      <c r="AL92" t="str">
        <f t="shared" si="24"/>
        <v>OK</v>
      </c>
      <c r="AM92" t="str">
        <f t="shared" si="25"/>
        <v>OK</v>
      </c>
      <c r="AN92" t="str">
        <f t="shared" si="26"/>
        <v>OK</v>
      </c>
      <c r="AO92" t="str">
        <f t="shared" si="27"/>
        <v>OK</v>
      </c>
      <c r="AP92" t="str">
        <f t="shared" si="28"/>
        <v>OK</v>
      </c>
      <c r="AQ92" t="str">
        <f t="shared" si="29"/>
        <v>OK</v>
      </c>
    </row>
    <row r="93" spans="1:43" x14ac:dyDescent="0.3">
      <c r="A93" t="s">
        <v>459</v>
      </c>
      <c r="B93" s="1">
        <v>45588</v>
      </c>
      <c r="C93" t="s">
        <v>460</v>
      </c>
      <c r="D93" t="s">
        <v>25</v>
      </c>
      <c r="E93" t="s">
        <v>461</v>
      </c>
      <c r="F93" t="s">
        <v>27</v>
      </c>
      <c r="G93" t="s">
        <v>462</v>
      </c>
      <c r="H93">
        <v>1399</v>
      </c>
      <c r="I93">
        <v>1</v>
      </c>
      <c r="J93">
        <v>1399</v>
      </c>
      <c r="K93" t="s">
        <v>43</v>
      </c>
      <c r="L93">
        <v>20</v>
      </c>
      <c r="M93" t="s">
        <v>112</v>
      </c>
      <c r="N93" t="s">
        <v>45</v>
      </c>
      <c r="O93" t="s">
        <v>85</v>
      </c>
      <c r="P93" t="s">
        <v>33</v>
      </c>
      <c r="Q93" t="s">
        <v>32</v>
      </c>
      <c r="R93" s="1">
        <v>45599</v>
      </c>
      <c r="S93" t="s">
        <v>34</v>
      </c>
      <c r="T93" t="s">
        <v>47</v>
      </c>
      <c r="U93" t="s">
        <v>48</v>
      </c>
      <c r="V93" s="1">
        <v>45628</v>
      </c>
      <c r="W93" t="s">
        <v>49</v>
      </c>
      <c r="AB93" s="2">
        <f t="shared" si="15"/>
        <v>1</v>
      </c>
      <c r="AC93">
        <f t="shared" si="16"/>
        <v>0</v>
      </c>
      <c r="AD93">
        <f t="shared" si="17"/>
        <v>2</v>
      </c>
      <c r="AE93" t="str">
        <f t="shared" si="18"/>
        <v>OK</v>
      </c>
      <c r="AF93" t="str">
        <f t="shared" si="19"/>
        <v>OK</v>
      </c>
      <c r="AG93" t="str">
        <f t="shared" si="20"/>
        <v>OK</v>
      </c>
      <c r="AI93" t="str">
        <f t="shared" si="21"/>
        <v>ERROR</v>
      </c>
      <c r="AJ93" t="str">
        <f t="shared" si="22"/>
        <v>OK</v>
      </c>
      <c r="AK93" t="str">
        <f t="shared" si="23"/>
        <v>OK</v>
      </c>
      <c r="AL93" t="str">
        <f t="shared" si="24"/>
        <v>OK</v>
      </c>
      <c r="AM93" t="str">
        <f t="shared" si="25"/>
        <v>OK</v>
      </c>
      <c r="AN93" t="str">
        <f t="shared" si="26"/>
        <v>OK</v>
      </c>
      <c r="AO93" t="str">
        <f t="shared" si="27"/>
        <v>OK</v>
      </c>
      <c r="AP93" t="str">
        <f t="shared" si="28"/>
        <v>OK</v>
      </c>
      <c r="AQ93" t="str">
        <f t="shared" si="29"/>
        <v>OK</v>
      </c>
    </row>
    <row r="94" spans="1:43" x14ac:dyDescent="0.3">
      <c r="A94" t="s">
        <v>463</v>
      </c>
      <c r="B94" s="1">
        <v>45588</v>
      </c>
      <c r="C94" t="s">
        <v>464</v>
      </c>
      <c r="D94" t="s">
        <v>25</v>
      </c>
      <c r="E94" t="s">
        <v>465</v>
      </c>
      <c r="F94" t="s">
        <v>62</v>
      </c>
      <c r="G94" t="s">
        <v>466</v>
      </c>
      <c r="H94">
        <v>4299</v>
      </c>
      <c r="I94">
        <v>1</v>
      </c>
      <c r="J94">
        <v>4299</v>
      </c>
      <c r="K94" t="s">
        <v>29</v>
      </c>
      <c r="L94">
        <v>0</v>
      </c>
      <c r="M94" t="s">
        <v>44</v>
      </c>
      <c r="N94" t="s">
        <v>31</v>
      </c>
      <c r="O94" t="s">
        <v>97</v>
      </c>
      <c r="P94" t="s">
        <v>98</v>
      </c>
      <c r="Q94" t="s">
        <v>32</v>
      </c>
      <c r="R94" s="1">
        <v>45601</v>
      </c>
      <c r="S94" t="s">
        <v>34</v>
      </c>
      <c r="T94" t="s">
        <v>35</v>
      </c>
      <c r="U94" t="s">
        <v>29</v>
      </c>
      <c r="V94" s="1"/>
      <c r="W94" t="s">
        <v>36</v>
      </c>
      <c r="AB94" s="2">
        <f t="shared" si="15"/>
        <v>1</v>
      </c>
      <c r="AC94">
        <f t="shared" si="16"/>
        <v>0</v>
      </c>
      <c r="AD94">
        <f t="shared" si="17"/>
        <v>2</v>
      </c>
      <c r="AE94" t="str">
        <f t="shared" si="18"/>
        <v>OK</v>
      </c>
      <c r="AF94" t="str">
        <f t="shared" si="19"/>
        <v>OK</v>
      </c>
      <c r="AG94" t="str">
        <f t="shared" si="20"/>
        <v>OK</v>
      </c>
      <c r="AI94" t="str">
        <f t="shared" si="21"/>
        <v>ERROR</v>
      </c>
      <c r="AJ94" t="str">
        <f t="shared" si="22"/>
        <v>OK</v>
      </c>
      <c r="AK94" t="str">
        <f t="shared" si="23"/>
        <v>OK</v>
      </c>
      <c r="AL94" t="str">
        <f t="shared" si="24"/>
        <v>OK</v>
      </c>
      <c r="AM94" t="str">
        <f t="shared" si="25"/>
        <v>ERROR</v>
      </c>
      <c r="AN94" t="str">
        <f t="shared" si="26"/>
        <v>OK</v>
      </c>
      <c r="AO94" t="str">
        <f t="shared" si="27"/>
        <v>OK</v>
      </c>
      <c r="AP94" t="str">
        <f t="shared" si="28"/>
        <v>OK</v>
      </c>
      <c r="AQ94" t="str">
        <f t="shared" si="29"/>
        <v>OK</v>
      </c>
    </row>
    <row r="95" spans="1:43" x14ac:dyDescent="0.3">
      <c r="A95" t="s">
        <v>467</v>
      </c>
      <c r="B95" s="1">
        <v>45588</v>
      </c>
      <c r="C95" t="s">
        <v>468</v>
      </c>
      <c r="D95" t="s">
        <v>39</v>
      </c>
      <c r="E95" t="s">
        <v>469</v>
      </c>
      <c r="F95" t="s">
        <v>72</v>
      </c>
      <c r="G95" t="s">
        <v>470</v>
      </c>
      <c r="H95">
        <v>399</v>
      </c>
      <c r="I95">
        <v>3</v>
      </c>
      <c r="J95">
        <v>1197</v>
      </c>
      <c r="K95" t="s">
        <v>29</v>
      </c>
      <c r="L95">
        <v>0</v>
      </c>
      <c r="M95" t="s">
        <v>30</v>
      </c>
      <c r="N95" t="s">
        <v>66</v>
      </c>
      <c r="O95" t="s">
        <v>103</v>
      </c>
      <c r="P95" t="s">
        <v>104</v>
      </c>
      <c r="Q95" t="s">
        <v>46</v>
      </c>
      <c r="R95" s="1">
        <v>45598</v>
      </c>
      <c r="S95" t="s">
        <v>34</v>
      </c>
      <c r="T95" t="s">
        <v>35</v>
      </c>
      <c r="U95" t="s">
        <v>29</v>
      </c>
      <c r="V95" s="1"/>
      <c r="W95" t="s">
        <v>36</v>
      </c>
      <c r="AB95" s="2">
        <f t="shared" si="15"/>
        <v>1</v>
      </c>
      <c r="AC95">
        <f t="shared" si="16"/>
        <v>0</v>
      </c>
      <c r="AD95">
        <f t="shared" si="17"/>
        <v>2</v>
      </c>
      <c r="AE95" t="str">
        <f t="shared" si="18"/>
        <v>OK</v>
      </c>
      <c r="AF95" t="str">
        <f t="shared" si="19"/>
        <v>OK</v>
      </c>
      <c r="AG95" t="str">
        <f t="shared" si="20"/>
        <v>OK</v>
      </c>
      <c r="AI95" t="str">
        <f t="shared" si="21"/>
        <v>ERROR</v>
      </c>
      <c r="AJ95" t="str">
        <f t="shared" si="22"/>
        <v>OK</v>
      </c>
      <c r="AK95" t="str">
        <f t="shared" si="23"/>
        <v>OK</v>
      </c>
      <c r="AL95" t="str">
        <f t="shared" si="24"/>
        <v>OK</v>
      </c>
      <c r="AM95" t="str">
        <f t="shared" si="25"/>
        <v>ERROR</v>
      </c>
      <c r="AN95" t="str">
        <f t="shared" si="26"/>
        <v>OK</v>
      </c>
      <c r="AO95" t="str">
        <f t="shared" si="27"/>
        <v>OK</v>
      </c>
      <c r="AP95" t="str">
        <f t="shared" si="28"/>
        <v>OK</v>
      </c>
      <c r="AQ95" t="str">
        <f t="shared" si="29"/>
        <v>OK</v>
      </c>
    </row>
    <row r="96" spans="1:43" x14ac:dyDescent="0.3">
      <c r="A96" t="s">
        <v>471</v>
      </c>
      <c r="B96" s="1">
        <v>45588</v>
      </c>
      <c r="C96" t="s">
        <v>472</v>
      </c>
      <c r="D96" t="s">
        <v>25</v>
      </c>
      <c r="E96" t="s">
        <v>473</v>
      </c>
      <c r="F96" t="s">
        <v>54</v>
      </c>
      <c r="G96" t="s">
        <v>474</v>
      </c>
      <c r="H96">
        <v>2199</v>
      </c>
      <c r="I96">
        <v>1</v>
      </c>
      <c r="J96">
        <v>2199</v>
      </c>
      <c r="K96" t="s">
        <v>64</v>
      </c>
      <c r="L96">
        <v>15</v>
      </c>
      <c r="M96" t="s">
        <v>65</v>
      </c>
      <c r="N96" t="s">
        <v>45</v>
      </c>
      <c r="O96" t="s">
        <v>113</v>
      </c>
      <c r="P96" t="s">
        <v>114</v>
      </c>
      <c r="Q96" t="s">
        <v>46</v>
      </c>
      <c r="R96" s="1">
        <v>45601</v>
      </c>
      <c r="S96" t="s">
        <v>34</v>
      </c>
      <c r="T96" t="s">
        <v>47</v>
      </c>
      <c r="U96" t="s">
        <v>139</v>
      </c>
      <c r="V96" s="1">
        <v>45631</v>
      </c>
      <c r="W96" t="s">
        <v>49</v>
      </c>
      <c r="AB96" s="2">
        <f t="shared" si="15"/>
        <v>1</v>
      </c>
      <c r="AC96">
        <f t="shared" si="16"/>
        <v>0</v>
      </c>
      <c r="AD96">
        <f t="shared" si="17"/>
        <v>2</v>
      </c>
      <c r="AE96" t="str">
        <f t="shared" si="18"/>
        <v>OK</v>
      </c>
      <c r="AF96" t="str">
        <f t="shared" si="19"/>
        <v>OK</v>
      </c>
      <c r="AG96" t="str">
        <f t="shared" si="20"/>
        <v>OK</v>
      </c>
      <c r="AI96" t="str">
        <f t="shared" si="21"/>
        <v>ERROR</v>
      </c>
      <c r="AJ96" t="str">
        <f t="shared" si="22"/>
        <v>OK</v>
      </c>
      <c r="AK96" t="str">
        <f t="shared" si="23"/>
        <v>OK</v>
      </c>
      <c r="AL96" t="str">
        <f t="shared" si="24"/>
        <v>OK</v>
      </c>
      <c r="AM96" t="str">
        <f t="shared" si="25"/>
        <v>OK</v>
      </c>
      <c r="AN96" t="str">
        <f t="shared" si="26"/>
        <v>OK</v>
      </c>
      <c r="AO96" t="str">
        <f t="shared" si="27"/>
        <v>OK</v>
      </c>
      <c r="AP96" t="str">
        <f t="shared" si="28"/>
        <v>OK</v>
      </c>
      <c r="AQ96" t="str">
        <f t="shared" si="29"/>
        <v>OK</v>
      </c>
    </row>
    <row r="97" spans="1:43" x14ac:dyDescent="0.3">
      <c r="A97" t="s">
        <v>475</v>
      </c>
      <c r="B97" s="1">
        <v>45589</v>
      </c>
      <c r="C97" t="s">
        <v>476</v>
      </c>
      <c r="D97" t="s">
        <v>25</v>
      </c>
      <c r="E97" t="s">
        <v>477</v>
      </c>
      <c r="F97" t="s">
        <v>41</v>
      </c>
      <c r="G97" t="s">
        <v>478</v>
      </c>
      <c r="H97">
        <v>2399</v>
      </c>
      <c r="I97">
        <v>1</v>
      </c>
      <c r="J97">
        <v>2399</v>
      </c>
      <c r="K97" t="s">
        <v>29</v>
      </c>
      <c r="L97">
        <v>0</v>
      </c>
      <c r="M97" t="s">
        <v>44</v>
      </c>
      <c r="N97" t="s">
        <v>31</v>
      </c>
      <c r="O97" t="s">
        <v>57</v>
      </c>
      <c r="P97" t="s">
        <v>58</v>
      </c>
      <c r="Q97" t="s">
        <v>57</v>
      </c>
      <c r="R97" s="1">
        <v>45600</v>
      </c>
      <c r="S97" t="s">
        <v>34</v>
      </c>
      <c r="T97" t="s">
        <v>35</v>
      </c>
      <c r="U97" t="s">
        <v>29</v>
      </c>
      <c r="V97" s="1"/>
      <c r="W97" t="s">
        <v>36</v>
      </c>
      <c r="AB97" s="2">
        <f t="shared" si="15"/>
        <v>1</v>
      </c>
      <c r="AC97">
        <f t="shared" si="16"/>
        <v>0</v>
      </c>
      <c r="AD97">
        <f t="shared" si="17"/>
        <v>2</v>
      </c>
      <c r="AE97" t="str">
        <f t="shared" si="18"/>
        <v>OK</v>
      </c>
      <c r="AF97" t="str">
        <f t="shared" si="19"/>
        <v>OK</v>
      </c>
      <c r="AG97" t="str">
        <f t="shared" si="20"/>
        <v>OK</v>
      </c>
      <c r="AI97" t="str">
        <f t="shared" si="21"/>
        <v>ERROR</v>
      </c>
      <c r="AJ97" t="str">
        <f t="shared" si="22"/>
        <v>OK</v>
      </c>
      <c r="AK97" t="str">
        <f t="shared" si="23"/>
        <v>OK</v>
      </c>
      <c r="AL97" t="str">
        <f t="shared" si="24"/>
        <v>OK</v>
      </c>
      <c r="AM97" t="str">
        <f t="shared" si="25"/>
        <v>ERROR</v>
      </c>
      <c r="AN97" t="str">
        <f t="shared" si="26"/>
        <v>OK</v>
      </c>
      <c r="AO97" t="str">
        <f t="shared" si="27"/>
        <v>OK</v>
      </c>
      <c r="AP97" t="str">
        <f t="shared" si="28"/>
        <v>OK</v>
      </c>
      <c r="AQ97" t="str">
        <f t="shared" si="29"/>
        <v>OK</v>
      </c>
    </row>
    <row r="98" spans="1:43" x14ac:dyDescent="0.3">
      <c r="A98" t="s">
        <v>479</v>
      </c>
      <c r="B98" s="1">
        <v>45589</v>
      </c>
      <c r="C98" t="s">
        <v>480</v>
      </c>
      <c r="D98" t="s">
        <v>25</v>
      </c>
      <c r="E98" t="s">
        <v>481</v>
      </c>
      <c r="F98" t="s">
        <v>27</v>
      </c>
      <c r="G98" t="s">
        <v>482</v>
      </c>
      <c r="H98">
        <v>1299</v>
      </c>
      <c r="I98">
        <v>1</v>
      </c>
      <c r="J98">
        <v>1299</v>
      </c>
      <c r="K98" t="s">
        <v>29</v>
      </c>
      <c r="L98">
        <v>0</v>
      </c>
      <c r="M98" t="s">
        <v>56</v>
      </c>
      <c r="N98" t="s">
        <v>66</v>
      </c>
      <c r="O98" t="s">
        <v>32</v>
      </c>
      <c r="P98" t="s">
        <v>33</v>
      </c>
      <c r="Q98" t="s">
        <v>32</v>
      </c>
      <c r="R98" s="1">
        <v>45602</v>
      </c>
      <c r="S98" t="s">
        <v>34</v>
      </c>
      <c r="T98" t="s">
        <v>47</v>
      </c>
      <c r="U98" t="s">
        <v>80</v>
      </c>
      <c r="V98" s="1">
        <v>45631</v>
      </c>
      <c r="W98" t="s">
        <v>49</v>
      </c>
      <c r="AB98" s="2">
        <f t="shared" si="15"/>
        <v>1</v>
      </c>
      <c r="AC98">
        <f t="shared" si="16"/>
        <v>0</v>
      </c>
      <c r="AD98">
        <f t="shared" si="17"/>
        <v>2</v>
      </c>
      <c r="AE98" t="str">
        <f t="shared" si="18"/>
        <v>OK</v>
      </c>
      <c r="AF98" t="str">
        <f t="shared" si="19"/>
        <v>OK</v>
      </c>
      <c r="AG98" t="str">
        <f t="shared" si="20"/>
        <v>OK</v>
      </c>
      <c r="AI98" t="str">
        <f t="shared" si="21"/>
        <v>ERROR</v>
      </c>
      <c r="AJ98" t="str">
        <f t="shared" si="22"/>
        <v>OK</v>
      </c>
      <c r="AK98" t="str">
        <f t="shared" si="23"/>
        <v>OK</v>
      </c>
      <c r="AL98" t="str">
        <f t="shared" si="24"/>
        <v>OK</v>
      </c>
      <c r="AM98" t="str">
        <f t="shared" si="25"/>
        <v>OK</v>
      </c>
      <c r="AN98" t="str">
        <f t="shared" si="26"/>
        <v>OK</v>
      </c>
      <c r="AO98" t="str">
        <f t="shared" si="27"/>
        <v>OK</v>
      </c>
      <c r="AP98" t="str">
        <f t="shared" si="28"/>
        <v>OK</v>
      </c>
      <c r="AQ98" t="str">
        <f t="shared" si="29"/>
        <v>OK</v>
      </c>
    </row>
    <row r="99" spans="1:43" x14ac:dyDescent="0.3">
      <c r="A99" t="s">
        <v>483</v>
      </c>
      <c r="B99" s="1">
        <v>45589</v>
      </c>
      <c r="C99" t="s">
        <v>484</v>
      </c>
      <c r="D99" t="s">
        <v>39</v>
      </c>
      <c r="E99" t="s">
        <v>485</v>
      </c>
      <c r="F99" t="s">
        <v>62</v>
      </c>
      <c r="G99" t="s">
        <v>486</v>
      </c>
      <c r="H99">
        <v>2799</v>
      </c>
      <c r="I99">
        <v>1</v>
      </c>
      <c r="J99">
        <v>2799</v>
      </c>
      <c r="K99" t="s">
        <v>43</v>
      </c>
      <c r="L99">
        <v>20</v>
      </c>
      <c r="M99" t="s">
        <v>30</v>
      </c>
      <c r="N99" t="s">
        <v>45</v>
      </c>
      <c r="O99" t="s">
        <v>46</v>
      </c>
      <c r="P99" t="s">
        <v>46</v>
      </c>
      <c r="Q99" t="s">
        <v>46</v>
      </c>
      <c r="R99" s="1">
        <v>45601</v>
      </c>
      <c r="S99" t="s">
        <v>34</v>
      </c>
      <c r="T99" t="s">
        <v>35</v>
      </c>
      <c r="U99" t="s">
        <v>29</v>
      </c>
      <c r="V99" s="1"/>
      <c r="W99" t="s">
        <v>36</v>
      </c>
      <c r="AB99" s="2">
        <f t="shared" si="15"/>
        <v>1</v>
      </c>
      <c r="AC99">
        <f t="shared" si="16"/>
        <v>0</v>
      </c>
      <c r="AD99">
        <f t="shared" si="17"/>
        <v>2</v>
      </c>
      <c r="AE99" t="str">
        <f t="shared" si="18"/>
        <v>OK</v>
      </c>
      <c r="AF99" t="str">
        <f t="shared" si="19"/>
        <v>OK</v>
      </c>
      <c r="AG99" t="str">
        <f t="shared" si="20"/>
        <v>OK</v>
      </c>
      <c r="AI99" t="str">
        <f t="shared" si="21"/>
        <v>ERROR</v>
      </c>
      <c r="AJ99" t="str">
        <f t="shared" si="22"/>
        <v>OK</v>
      </c>
      <c r="AK99" t="str">
        <f t="shared" si="23"/>
        <v>OK</v>
      </c>
      <c r="AL99" t="str">
        <f t="shared" si="24"/>
        <v>OK</v>
      </c>
      <c r="AM99" t="str">
        <f t="shared" si="25"/>
        <v>ERROR</v>
      </c>
      <c r="AN99" t="str">
        <f t="shared" si="26"/>
        <v>OK</v>
      </c>
      <c r="AO99" t="str">
        <f t="shared" si="27"/>
        <v>OK</v>
      </c>
      <c r="AP99" t="str">
        <f t="shared" si="28"/>
        <v>OK</v>
      </c>
      <c r="AQ99" t="str">
        <f t="shared" si="29"/>
        <v>OK</v>
      </c>
    </row>
    <row r="100" spans="1:43" x14ac:dyDescent="0.3">
      <c r="A100" t="s">
        <v>487</v>
      </c>
      <c r="B100" s="1">
        <v>45589</v>
      </c>
      <c r="C100" t="s">
        <v>488</v>
      </c>
      <c r="D100" t="s">
        <v>25</v>
      </c>
      <c r="E100" t="s">
        <v>489</v>
      </c>
      <c r="F100" t="s">
        <v>72</v>
      </c>
      <c r="G100" t="s">
        <v>490</v>
      </c>
      <c r="H100">
        <v>699</v>
      </c>
      <c r="I100">
        <v>1</v>
      </c>
      <c r="J100">
        <v>699</v>
      </c>
      <c r="K100" t="s">
        <v>29</v>
      </c>
      <c r="L100">
        <v>0</v>
      </c>
      <c r="M100" t="s">
        <v>112</v>
      </c>
      <c r="N100" t="s">
        <v>31</v>
      </c>
      <c r="O100" t="s">
        <v>119</v>
      </c>
      <c r="P100" t="s">
        <v>120</v>
      </c>
      <c r="Q100" t="s">
        <v>46</v>
      </c>
      <c r="R100" s="1">
        <v>45600</v>
      </c>
      <c r="S100" t="s">
        <v>34</v>
      </c>
      <c r="T100" t="s">
        <v>35</v>
      </c>
      <c r="U100" t="s">
        <v>29</v>
      </c>
      <c r="V100" s="1"/>
      <c r="W100" t="s">
        <v>36</v>
      </c>
      <c r="AB100" s="2">
        <f t="shared" si="15"/>
        <v>1</v>
      </c>
      <c r="AC100">
        <f t="shared" si="16"/>
        <v>0</v>
      </c>
      <c r="AD100">
        <f t="shared" si="17"/>
        <v>2</v>
      </c>
      <c r="AE100" t="str">
        <f t="shared" si="18"/>
        <v>OK</v>
      </c>
      <c r="AF100" t="str">
        <f t="shared" si="19"/>
        <v>OK</v>
      </c>
      <c r="AG100" t="str">
        <f t="shared" si="20"/>
        <v>OK</v>
      </c>
      <c r="AI100" t="str">
        <f t="shared" si="21"/>
        <v>ERROR</v>
      </c>
      <c r="AJ100" t="str">
        <f t="shared" si="22"/>
        <v>OK</v>
      </c>
      <c r="AK100" t="str">
        <f t="shared" si="23"/>
        <v>OK</v>
      </c>
      <c r="AL100" t="str">
        <f t="shared" si="24"/>
        <v>OK</v>
      </c>
      <c r="AM100" t="str">
        <f t="shared" si="25"/>
        <v>ERROR</v>
      </c>
      <c r="AN100" t="str">
        <f t="shared" si="26"/>
        <v>OK</v>
      </c>
      <c r="AO100" t="str">
        <f t="shared" si="27"/>
        <v>OK</v>
      </c>
      <c r="AP100" t="str">
        <f t="shared" si="28"/>
        <v>OK</v>
      </c>
      <c r="AQ100" t="str">
        <f t="shared" si="29"/>
        <v>OK</v>
      </c>
    </row>
    <row r="101" spans="1:43" x14ac:dyDescent="0.3">
      <c r="A101" t="s">
        <v>491</v>
      </c>
      <c r="B101" s="1">
        <v>45590</v>
      </c>
      <c r="C101" t="s">
        <v>492</v>
      </c>
      <c r="D101" t="s">
        <v>25</v>
      </c>
      <c r="E101" t="s">
        <v>493</v>
      </c>
      <c r="F101" t="s">
        <v>54</v>
      </c>
      <c r="G101" t="s">
        <v>494</v>
      </c>
      <c r="H101">
        <v>1699</v>
      </c>
      <c r="I101">
        <v>1</v>
      </c>
      <c r="J101">
        <v>1699</v>
      </c>
      <c r="K101" t="s">
        <v>29</v>
      </c>
      <c r="L101">
        <v>0</v>
      </c>
      <c r="M101" t="s">
        <v>65</v>
      </c>
      <c r="N101" t="s">
        <v>66</v>
      </c>
      <c r="O101" t="s">
        <v>138</v>
      </c>
      <c r="P101" t="s">
        <v>114</v>
      </c>
      <c r="Q101" t="s">
        <v>46</v>
      </c>
      <c r="R101" s="1">
        <v>45603</v>
      </c>
      <c r="S101" t="s">
        <v>34</v>
      </c>
      <c r="T101" t="s">
        <v>47</v>
      </c>
      <c r="U101" t="s">
        <v>48</v>
      </c>
      <c r="V101" s="1">
        <v>45632</v>
      </c>
      <c r="W101" t="s">
        <v>49</v>
      </c>
      <c r="AB101" s="2">
        <f t="shared" si="15"/>
        <v>1</v>
      </c>
      <c r="AC101">
        <f t="shared" si="16"/>
        <v>0</v>
      </c>
      <c r="AD101">
        <f t="shared" si="17"/>
        <v>2</v>
      </c>
      <c r="AE101" t="str">
        <f t="shared" si="18"/>
        <v>OK</v>
      </c>
      <c r="AF101" t="str">
        <f t="shared" si="19"/>
        <v>OK</v>
      </c>
      <c r="AG101" t="str">
        <f t="shared" si="20"/>
        <v>OK</v>
      </c>
      <c r="AI101" t="str">
        <f t="shared" si="21"/>
        <v>ERROR</v>
      </c>
      <c r="AJ101" t="str">
        <f t="shared" si="22"/>
        <v>OK</v>
      </c>
      <c r="AK101" t="str">
        <f t="shared" si="23"/>
        <v>OK</v>
      </c>
      <c r="AL101" t="str">
        <f t="shared" si="24"/>
        <v>OK</v>
      </c>
      <c r="AM101" t="str">
        <f t="shared" si="25"/>
        <v>OK</v>
      </c>
      <c r="AN101" t="str">
        <f t="shared" si="26"/>
        <v>OK</v>
      </c>
      <c r="AO101" t="str">
        <f t="shared" si="27"/>
        <v>OK</v>
      </c>
      <c r="AP101" t="str">
        <f t="shared" si="28"/>
        <v>OK</v>
      </c>
      <c r="AQ101" t="str">
        <f t="shared" si="29"/>
        <v>OK</v>
      </c>
    </row>
    <row r="102" spans="1:43" x14ac:dyDescent="0.3">
      <c r="A102" t="s">
        <v>495</v>
      </c>
      <c r="B102" s="1">
        <v>45590</v>
      </c>
      <c r="C102" t="s">
        <v>496</v>
      </c>
      <c r="D102" t="s">
        <v>25</v>
      </c>
      <c r="E102" t="s">
        <v>497</v>
      </c>
      <c r="F102" t="s">
        <v>41</v>
      </c>
      <c r="G102" t="s">
        <v>150</v>
      </c>
      <c r="H102">
        <v>2799</v>
      </c>
      <c r="I102">
        <v>1</v>
      </c>
      <c r="J102">
        <v>2799</v>
      </c>
      <c r="K102" t="s">
        <v>111</v>
      </c>
      <c r="L102">
        <v>10</v>
      </c>
      <c r="M102" t="s">
        <v>44</v>
      </c>
      <c r="N102" t="s">
        <v>45</v>
      </c>
      <c r="O102" t="s">
        <v>144</v>
      </c>
      <c r="P102" t="s">
        <v>145</v>
      </c>
      <c r="Q102" t="s">
        <v>46</v>
      </c>
      <c r="R102" s="1">
        <v>45602</v>
      </c>
      <c r="S102" t="s">
        <v>34</v>
      </c>
      <c r="T102" t="s">
        <v>35</v>
      </c>
      <c r="U102" t="s">
        <v>29</v>
      </c>
      <c r="V102" s="1"/>
      <c r="W102" t="s">
        <v>36</v>
      </c>
      <c r="AB102" s="2">
        <f t="shared" si="15"/>
        <v>1</v>
      </c>
      <c r="AC102">
        <f t="shared" si="16"/>
        <v>0</v>
      </c>
      <c r="AD102">
        <f t="shared" si="17"/>
        <v>2</v>
      </c>
      <c r="AE102" t="str">
        <f t="shared" si="18"/>
        <v>OK</v>
      </c>
      <c r="AF102" t="str">
        <f t="shared" si="19"/>
        <v>OK</v>
      </c>
      <c r="AG102" t="str">
        <f t="shared" si="20"/>
        <v>OK</v>
      </c>
      <c r="AI102" t="str">
        <f t="shared" si="21"/>
        <v>ERROR</v>
      </c>
      <c r="AJ102" t="str">
        <f t="shared" si="22"/>
        <v>OK</v>
      </c>
      <c r="AK102" t="str">
        <f t="shared" si="23"/>
        <v>OK</v>
      </c>
      <c r="AL102" t="str">
        <f t="shared" si="24"/>
        <v>OK</v>
      </c>
      <c r="AM102" t="str">
        <f t="shared" si="25"/>
        <v>ERROR</v>
      </c>
      <c r="AN102" t="str">
        <f t="shared" si="26"/>
        <v>OK</v>
      </c>
      <c r="AO102" t="str">
        <f t="shared" si="27"/>
        <v>OK</v>
      </c>
      <c r="AP102" t="str">
        <f t="shared" si="28"/>
        <v>OK</v>
      </c>
      <c r="AQ102" t="str">
        <f t="shared" si="29"/>
        <v>OK</v>
      </c>
    </row>
    <row r="103" spans="1:43" x14ac:dyDescent="0.3">
      <c r="A103" t="s">
        <v>498</v>
      </c>
      <c r="B103" s="1">
        <v>45590</v>
      </c>
      <c r="C103" t="s">
        <v>499</v>
      </c>
      <c r="D103" t="s">
        <v>39</v>
      </c>
      <c r="E103" t="s">
        <v>500</v>
      </c>
      <c r="F103" t="s">
        <v>27</v>
      </c>
      <c r="G103" t="s">
        <v>501</v>
      </c>
      <c r="H103">
        <v>1199</v>
      </c>
      <c r="I103">
        <v>2</v>
      </c>
      <c r="J103">
        <v>2398</v>
      </c>
      <c r="K103" t="s">
        <v>29</v>
      </c>
      <c r="L103">
        <v>0</v>
      </c>
      <c r="M103" t="s">
        <v>30</v>
      </c>
      <c r="N103" t="s">
        <v>31</v>
      </c>
      <c r="O103" t="s">
        <v>151</v>
      </c>
      <c r="P103" t="s">
        <v>152</v>
      </c>
      <c r="Q103" t="s">
        <v>32</v>
      </c>
      <c r="R103" s="1">
        <v>45601</v>
      </c>
      <c r="S103" t="s">
        <v>34</v>
      </c>
      <c r="T103" t="s">
        <v>47</v>
      </c>
      <c r="U103" t="s">
        <v>69</v>
      </c>
      <c r="V103" s="1">
        <v>45630</v>
      </c>
      <c r="W103" t="s">
        <v>49</v>
      </c>
      <c r="AB103" s="2">
        <f t="shared" si="15"/>
        <v>1</v>
      </c>
      <c r="AC103">
        <f t="shared" si="16"/>
        <v>0</v>
      </c>
      <c r="AD103">
        <f t="shared" si="17"/>
        <v>2</v>
      </c>
      <c r="AE103" t="str">
        <f t="shared" si="18"/>
        <v>OK</v>
      </c>
      <c r="AF103" t="str">
        <f t="shared" si="19"/>
        <v>OK</v>
      </c>
      <c r="AG103" t="str">
        <f t="shared" si="20"/>
        <v>OK</v>
      </c>
      <c r="AI103" t="str">
        <f t="shared" si="21"/>
        <v>ERROR</v>
      </c>
      <c r="AJ103" t="str">
        <f t="shared" si="22"/>
        <v>OK</v>
      </c>
      <c r="AK103" t="str">
        <f t="shared" si="23"/>
        <v>OK</v>
      </c>
      <c r="AL103" t="str">
        <f t="shared" si="24"/>
        <v>OK</v>
      </c>
      <c r="AM103" t="str">
        <f t="shared" si="25"/>
        <v>OK</v>
      </c>
      <c r="AN103" t="str">
        <f t="shared" si="26"/>
        <v>OK</v>
      </c>
      <c r="AO103" t="str">
        <f t="shared" si="27"/>
        <v>OK</v>
      </c>
      <c r="AP103" t="str">
        <f t="shared" si="28"/>
        <v>OK</v>
      </c>
      <c r="AQ103" t="str">
        <f t="shared" si="29"/>
        <v>OK</v>
      </c>
    </row>
    <row r="104" spans="1:43" x14ac:dyDescent="0.3">
      <c r="A104" t="s">
        <v>502</v>
      </c>
      <c r="B104" s="1">
        <v>45590</v>
      </c>
      <c r="C104" t="s">
        <v>503</v>
      </c>
      <c r="D104" t="s">
        <v>25</v>
      </c>
      <c r="E104" t="s">
        <v>504</v>
      </c>
      <c r="F104" t="s">
        <v>62</v>
      </c>
      <c r="G104" t="s">
        <v>505</v>
      </c>
      <c r="H104">
        <v>5999</v>
      </c>
      <c r="I104">
        <v>1</v>
      </c>
      <c r="J104">
        <v>5999</v>
      </c>
      <c r="K104" t="s">
        <v>29</v>
      </c>
      <c r="L104">
        <v>0</v>
      </c>
      <c r="M104" t="s">
        <v>44</v>
      </c>
      <c r="N104" t="s">
        <v>66</v>
      </c>
      <c r="O104" t="s">
        <v>157</v>
      </c>
      <c r="P104" t="s">
        <v>98</v>
      </c>
      <c r="Q104" t="s">
        <v>32</v>
      </c>
      <c r="R104" s="1">
        <v>45604</v>
      </c>
      <c r="S104" t="s">
        <v>34</v>
      </c>
      <c r="T104" t="s">
        <v>35</v>
      </c>
      <c r="U104" t="s">
        <v>29</v>
      </c>
      <c r="V104" s="1"/>
      <c r="W104" t="s">
        <v>36</v>
      </c>
      <c r="AB104" s="2">
        <f t="shared" si="15"/>
        <v>1</v>
      </c>
      <c r="AC104">
        <f t="shared" si="16"/>
        <v>0</v>
      </c>
      <c r="AD104">
        <f t="shared" si="17"/>
        <v>2</v>
      </c>
      <c r="AE104" t="str">
        <f t="shared" si="18"/>
        <v>OK</v>
      </c>
      <c r="AF104" t="str">
        <f t="shared" si="19"/>
        <v>OK</v>
      </c>
      <c r="AG104" t="str">
        <f t="shared" si="20"/>
        <v>OK</v>
      </c>
      <c r="AI104" t="str">
        <f t="shared" si="21"/>
        <v>ERROR</v>
      </c>
      <c r="AJ104" t="str">
        <f t="shared" si="22"/>
        <v>OK</v>
      </c>
      <c r="AK104" t="str">
        <f t="shared" si="23"/>
        <v>OK</v>
      </c>
      <c r="AL104" t="str">
        <f t="shared" si="24"/>
        <v>OK</v>
      </c>
      <c r="AM104" t="str">
        <f t="shared" si="25"/>
        <v>ERROR</v>
      </c>
      <c r="AN104" t="str">
        <f t="shared" si="26"/>
        <v>OK</v>
      </c>
      <c r="AO104" t="str">
        <f t="shared" si="27"/>
        <v>OK</v>
      </c>
      <c r="AP104" t="str">
        <f t="shared" si="28"/>
        <v>OK</v>
      </c>
      <c r="AQ104" t="str">
        <f t="shared" si="29"/>
        <v>OK</v>
      </c>
    </row>
    <row r="105" spans="1:43" x14ac:dyDescent="0.3">
      <c r="A105" t="s">
        <v>506</v>
      </c>
      <c r="B105" s="1">
        <v>45591</v>
      </c>
      <c r="C105" t="s">
        <v>507</v>
      </c>
      <c r="D105" t="s">
        <v>25</v>
      </c>
      <c r="E105" t="s">
        <v>508</v>
      </c>
      <c r="F105" t="s">
        <v>72</v>
      </c>
      <c r="G105" t="s">
        <v>509</v>
      </c>
      <c r="H105">
        <v>1799</v>
      </c>
      <c r="I105">
        <v>1</v>
      </c>
      <c r="J105">
        <v>1799</v>
      </c>
      <c r="K105" t="s">
        <v>43</v>
      </c>
      <c r="L105">
        <v>20</v>
      </c>
      <c r="M105" t="s">
        <v>56</v>
      </c>
      <c r="N105" t="s">
        <v>45</v>
      </c>
      <c r="O105" t="s">
        <v>162</v>
      </c>
      <c r="P105" t="s">
        <v>163</v>
      </c>
      <c r="Q105" t="s">
        <v>46</v>
      </c>
      <c r="R105" s="1"/>
      <c r="S105" t="s">
        <v>121</v>
      </c>
      <c r="T105" t="s">
        <v>35</v>
      </c>
      <c r="U105" t="s">
        <v>29</v>
      </c>
      <c r="V105" s="1"/>
      <c r="W105" t="s">
        <v>36</v>
      </c>
      <c r="AB105" s="2">
        <f t="shared" si="15"/>
        <v>1</v>
      </c>
      <c r="AC105">
        <f t="shared" si="16"/>
        <v>0</v>
      </c>
      <c r="AD105">
        <f t="shared" si="17"/>
        <v>2</v>
      </c>
      <c r="AE105" t="str">
        <f t="shared" si="18"/>
        <v>OK</v>
      </c>
      <c r="AF105" t="str">
        <f t="shared" si="19"/>
        <v>OK</v>
      </c>
      <c r="AG105" t="str">
        <f t="shared" si="20"/>
        <v>OK</v>
      </c>
      <c r="AI105" t="str">
        <f t="shared" si="21"/>
        <v>ERROR</v>
      </c>
      <c r="AJ105" t="str">
        <f t="shared" si="22"/>
        <v>ERROR</v>
      </c>
      <c r="AK105" t="str">
        <f t="shared" si="23"/>
        <v>OK</v>
      </c>
      <c r="AL105" t="str">
        <f t="shared" si="24"/>
        <v>OK</v>
      </c>
      <c r="AM105" t="str">
        <f t="shared" si="25"/>
        <v>OK</v>
      </c>
      <c r="AN105" t="str">
        <f t="shared" si="26"/>
        <v>OK</v>
      </c>
      <c r="AO105" t="str">
        <f t="shared" si="27"/>
        <v>OK</v>
      </c>
      <c r="AP105" t="str">
        <f t="shared" si="28"/>
        <v>OK</v>
      </c>
      <c r="AQ105" t="str">
        <f t="shared" si="29"/>
        <v>OK</v>
      </c>
    </row>
    <row r="106" spans="1:43" x14ac:dyDescent="0.3">
      <c r="A106" t="s">
        <v>510</v>
      </c>
      <c r="B106" s="1">
        <v>45591</v>
      </c>
      <c r="C106" t="s">
        <v>511</v>
      </c>
      <c r="D106" t="s">
        <v>25</v>
      </c>
      <c r="E106" t="s">
        <v>512</v>
      </c>
      <c r="F106" t="s">
        <v>54</v>
      </c>
      <c r="G106" t="s">
        <v>513</v>
      </c>
      <c r="H106">
        <v>1999</v>
      </c>
      <c r="I106">
        <v>1</v>
      </c>
      <c r="J106">
        <v>1999</v>
      </c>
      <c r="K106" t="s">
        <v>29</v>
      </c>
      <c r="L106">
        <v>0</v>
      </c>
      <c r="M106" t="s">
        <v>112</v>
      </c>
      <c r="N106" t="s">
        <v>31</v>
      </c>
      <c r="O106" t="s">
        <v>168</v>
      </c>
      <c r="P106" t="s">
        <v>152</v>
      </c>
      <c r="Q106" t="s">
        <v>32</v>
      </c>
      <c r="R106" s="1">
        <v>45603</v>
      </c>
      <c r="S106" t="s">
        <v>34</v>
      </c>
      <c r="T106" t="s">
        <v>47</v>
      </c>
      <c r="U106" t="s">
        <v>105</v>
      </c>
      <c r="V106" s="1">
        <v>45633</v>
      </c>
      <c r="W106" t="s">
        <v>49</v>
      </c>
      <c r="AB106" s="2">
        <f t="shared" si="15"/>
        <v>1</v>
      </c>
      <c r="AC106">
        <f t="shared" si="16"/>
        <v>0</v>
      </c>
      <c r="AD106">
        <f t="shared" si="17"/>
        <v>2</v>
      </c>
      <c r="AE106" t="str">
        <f t="shared" si="18"/>
        <v>OK</v>
      </c>
      <c r="AF106" t="str">
        <f t="shared" si="19"/>
        <v>OK</v>
      </c>
      <c r="AG106" t="str">
        <f t="shared" si="20"/>
        <v>OK</v>
      </c>
      <c r="AI106" t="str">
        <f t="shared" si="21"/>
        <v>ERROR</v>
      </c>
      <c r="AJ106" t="str">
        <f t="shared" si="22"/>
        <v>OK</v>
      </c>
      <c r="AK106" t="str">
        <f t="shared" si="23"/>
        <v>OK</v>
      </c>
      <c r="AL106" t="str">
        <f t="shared" si="24"/>
        <v>OK</v>
      </c>
      <c r="AM106" t="str">
        <f t="shared" si="25"/>
        <v>OK</v>
      </c>
      <c r="AN106" t="str">
        <f t="shared" si="26"/>
        <v>OK</v>
      </c>
      <c r="AO106" t="str">
        <f t="shared" si="27"/>
        <v>OK</v>
      </c>
      <c r="AP106" t="str">
        <f t="shared" si="28"/>
        <v>OK</v>
      </c>
      <c r="AQ106" t="str">
        <f t="shared" si="29"/>
        <v>OK</v>
      </c>
    </row>
    <row r="107" spans="1:43" x14ac:dyDescent="0.3">
      <c r="A107" t="s">
        <v>514</v>
      </c>
      <c r="B107" s="1">
        <v>45591</v>
      </c>
      <c r="C107" t="s">
        <v>515</v>
      </c>
      <c r="D107" t="s">
        <v>39</v>
      </c>
      <c r="E107" t="s">
        <v>516</v>
      </c>
      <c r="F107" t="s">
        <v>41</v>
      </c>
      <c r="G107" t="s">
        <v>517</v>
      </c>
      <c r="H107">
        <v>2499</v>
      </c>
      <c r="I107">
        <v>1</v>
      </c>
      <c r="J107">
        <v>2499</v>
      </c>
      <c r="K107" t="s">
        <v>29</v>
      </c>
      <c r="L107">
        <v>0</v>
      </c>
      <c r="M107" t="s">
        <v>65</v>
      </c>
      <c r="N107" t="s">
        <v>66</v>
      </c>
      <c r="O107" t="s">
        <v>173</v>
      </c>
      <c r="P107" t="s">
        <v>33</v>
      </c>
      <c r="Q107" t="s">
        <v>32</v>
      </c>
      <c r="R107" s="1">
        <v>45604</v>
      </c>
      <c r="S107" t="s">
        <v>34</v>
      </c>
      <c r="T107" t="s">
        <v>35</v>
      </c>
      <c r="U107" t="s">
        <v>29</v>
      </c>
      <c r="V107" s="1"/>
      <c r="W107" t="s">
        <v>36</v>
      </c>
      <c r="AB107" s="2">
        <f t="shared" si="15"/>
        <v>1</v>
      </c>
      <c r="AC107">
        <f t="shared" si="16"/>
        <v>0</v>
      </c>
      <c r="AD107">
        <f t="shared" si="17"/>
        <v>2</v>
      </c>
      <c r="AE107" t="str">
        <f t="shared" si="18"/>
        <v>OK</v>
      </c>
      <c r="AF107" t="str">
        <f t="shared" si="19"/>
        <v>OK</v>
      </c>
      <c r="AG107" t="str">
        <f t="shared" si="20"/>
        <v>OK</v>
      </c>
      <c r="AI107" t="str">
        <f t="shared" si="21"/>
        <v>ERROR</v>
      </c>
      <c r="AJ107" t="str">
        <f t="shared" si="22"/>
        <v>OK</v>
      </c>
      <c r="AK107" t="str">
        <f t="shared" si="23"/>
        <v>OK</v>
      </c>
      <c r="AL107" t="str">
        <f t="shared" si="24"/>
        <v>OK</v>
      </c>
      <c r="AM107" t="str">
        <f t="shared" si="25"/>
        <v>ERROR</v>
      </c>
      <c r="AN107" t="str">
        <f t="shared" si="26"/>
        <v>OK</v>
      </c>
      <c r="AO107" t="str">
        <f t="shared" si="27"/>
        <v>OK</v>
      </c>
      <c r="AP107" t="str">
        <f t="shared" si="28"/>
        <v>OK</v>
      </c>
      <c r="AQ107" t="str">
        <f t="shared" si="29"/>
        <v>OK</v>
      </c>
    </row>
    <row r="108" spans="1:43" x14ac:dyDescent="0.3">
      <c r="A108" t="s">
        <v>518</v>
      </c>
      <c r="B108" s="1">
        <v>45591</v>
      </c>
      <c r="C108" t="s">
        <v>519</v>
      </c>
      <c r="D108" t="s">
        <v>25</v>
      </c>
      <c r="E108" t="s">
        <v>520</v>
      </c>
      <c r="F108" t="s">
        <v>27</v>
      </c>
      <c r="G108" t="s">
        <v>521</v>
      </c>
      <c r="H108">
        <v>1599</v>
      </c>
      <c r="I108">
        <v>1</v>
      </c>
      <c r="J108">
        <v>1599</v>
      </c>
      <c r="K108" t="s">
        <v>64</v>
      </c>
      <c r="L108">
        <v>15</v>
      </c>
      <c r="M108" t="s">
        <v>30</v>
      </c>
      <c r="N108" t="s">
        <v>45</v>
      </c>
      <c r="O108" t="s">
        <v>178</v>
      </c>
      <c r="P108" t="s">
        <v>68</v>
      </c>
      <c r="Q108" t="s">
        <v>57</v>
      </c>
      <c r="R108" s="1">
        <v>45602</v>
      </c>
      <c r="S108" t="s">
        <v>34</v>
      </c>
      <c r="T108" t="s">
        <v>47</v>
      </c>
      <c r="U108" t="s">
        <v>48</v>
      </c>
      <c r="V108" s="1">
        <v>45631</v>
      </c>
      <c r="W108" t="s">
        <v>49</v>
      </c>
      <c r="AB108" s="2">
        <f t="shared" si="15"/>
        <v>1</v>
      </c>
      <c r="AC108">
        <f t="shared" si="16"/>
        <v>0</v>
      </c>
      <c r="AD108">
        <f t="shared" si="17"/>
        <v>2</v>
      </c>
      <c r="AE108" t="str">
        <f t="shared" si="18"/>
        <v>OK</v>
      </c>
      <c r="AF108" t="str">
        <f t="shared" si="19"/>
        <v>OK</v>
      </c>
      <c r="AG108" t="str">
        <f t="shared" si="20"/>
        <v>OK</v>
      </c>
      <c r="AI108" t="str">
        <f t="shared" si="21"/>
        <v>ERROR</v>
      </c>
      <c r="AJ108" t="str">
        <f t="shared" si="22"/>
        <v>OK</v>
      </c>
      <c r="AK108" t="str">
        <f t="shared" si="23"/>
        <v>OK</v>
      </c>
      <c r="AL108" t="str">
        <f t="shared" si="24"/>
        <v>OK</v>
      </c>
      <c r="AM108" t="str">
        <f t="shared" si="25"/>
        <v>OK</v>
      </c>
      <c r="AN108" t="str">
        <f t="shared" si="26"/>
        <v>OK</v>
      </c>
      <c r="AO108" t="str">
        <f t="shared" si="27"/>
        <v>OK</v>
      </c>
      <c r="AP108" t="str">
        <f t="shared" si="28"/>
        <v>OK</v>
      </c>
      <c r="AQ108" t="str">
        <f t="shared" si="29"/>
        <v>OK</v>
      </c>
    </row>
    <row r="109" spans="1:43" x14ac:dyDescent="0.3">
      <c r="A109" t="s">
        <v>522</v>
      </c>
      <c r="B109" s="1">
        <v>45592</v>
      </c>
      <c r="C109" t="s">
        <v>523</v>
      </c>
      <c r="D109" t="s">
        <v>25</v>
      </c>
      <c r="E109" t="s">
        <v>524</v>
      </c>
      <c r="F109" t="s">
        <v>62</v>
      </c>
      <c r="G109" t="s">
        <v>525</v>
      </c>
      <c r="H109">
        <v>3999</v>
      </c>
      <c r="I109">
        <v>1</v>
      </c>
      <c r="J109">
        <v>3999</v>
      </c>
      <c r="K109" t="s">
        <v>29</v>
      </c>
      <c r="L109">
        <v>0</v>
      </c>
      <c r="M109" t="s">
        <v>44</v>
      </c>
      <c r="N109" t="s">
        <v>31</v>
      </c>
      <c r="O109" t="s">
        <v>183</v>
      </c>
      <c r="P109" t="s">
        <v>184</v>
      </c>
      <c r="Q109" t="s">
        <v>57</v>
      </c>
      <c r="R109" s="1">
        <v>45605</v>
      </c>
      <c r="S109" t="s">
        <v>34</v>
      </c>
      <c r="T109" t="s">
        <v>35</v>
      </c>
      <c r="U109" t="s">
        <v>29</v>
      </c>
      <c r="V109" s="1"/>
      <c r="W109" t="s">
        <v>36</v>
      </c>
      <c r="AB109" s="2">
        <f t="shared" si="15"/>
        <v>1</v>
      </c>
      <c r="AC109">
        <f t="shared" si="16"/>
        <v>0</v>
      </c>
      <c r="AD109">
        <f t="shared" si="17"/>
        <v>2</v>
      </c>
      <c r="AE109" t="str">
        <f t="shared" si="18"/>
        <v>OK</v>
      </c>
      <c r="AF109" t="str">
        <f t="shared" si="19"/>
        <v>OK</v>
      </c>
      <c r="AG109" t="str">
        <f t="shared" si="20"/>
        <v>OK</v>
      </c>
      <c r="AI109" t="str">
        <f t="shared" si="21"/>
        <v>ERROR</v>
      </c>
      <c r="AJ109" t="str">
        <f t="shared" si="22"/>
        <v>OK</v>
      </c>
      <c r="AK109" t="str">
        <f t="shared" si="23"/>
        <v>OK</v>
      </c>
      <c r="AL109" t="str">
        <f t="shared" si="24"/>
        <v>OK</v>
      </c>
      <c r="AM109" t="str">
        <f t="shared" si="25"/>
        <v>ERROR</v>
      </c>
      <c r="AN109" t="str">
        <f t="shared" si="26"/>
        <v>OK</v>
      </c>
      <c r="AO109" t="str">
        <f t="shared" si="27"/>
        <v>OK</v>
      </c>
      <c r="AP109" t="str">
        <f t="shared" si="28"/>
        <v>OK</v>
      </c>
      <c r="AQ109" t="str">
        <f t="shared" si="29"/>
        <v>OK</v>
      </c>
    </row>
    <row r="110" spans="1:43" x14ac:dyDescent="0.3">
      <c r="A110" t="s">
        <v>526</v>
      </c>
      <c r="B110" s="1">
        <v>45592</v>
      </c>
      <c r="C110" t="s">
        <v>527</v>
      </c>
      <c r="D110" t="s">
        <v>25</v>
      </c>
      <c r="E110" t="s">
        <v>528</v>
      </c>
      <c r="F110" t="s">
        <v>72</v>
      </c>
      <c r="G110" t="s">
        <v>529</v>
      </c>
      <c r="H110">
        <v>599</v>
      </c>
      <c r="I110">
        <v>2</v>
      </c>
      <c r="J110">
        <v>1198</v>
      </c>
      <c r="K110" t="s">
        <v>29</v>
      </c>
      <c r="L110">
        <v>0</v>
      </c>
      <c r="M110" t="s">
        <v>56</v>
      </c>
      <c r="N110" t="s">
        <v>66</v>
      </c>
      <c r="O110" t="s">
        <v>189</v>
      </c>
      <c r="P110" t="s">
        <v>190</v>
      </c>
      <c r="Q110" t="s">
        <v>57</v>
      </c>
      <c r="R110" s="1">
        <v>45603</v>
      </c>
      <c r="S110" t="s">
        <v>34</v>
      </c>
      <c r="T110" t="s">
        <v>47</v>
      </c>
      <c r="U110" t="s">
        <v>139</v>
      </c>
      <c r="V110" s="1">
        <v>45632</v>
      </c>
      <c r="W110" t="s">
        <v>49</v>
      </c>
      <c r="AB110" s="2">
        <f t="shared" si="15"/>
        <v>1</v>
      </c>
      <c r="AC110">
        <f t="shared" si="16"/>
        <v>0</v>
      </c>
      <c r="AD110">
        <f t="shared" si="17"/>
        <v>2</v>
      </c>
      <c r="AE110" t="str">
        <f t="shared" si="18"/>
        <v>OK</v>
      </c>
      <c r="AF110" t="str">
        <f t="shared" si="19"/>
        <v>OK</v>
      </c>
      <c r="AG110" t="str">
        <f t="shared" si="20"/>
        <v>OK</v>
      </c>
      <c r="AI110" t="str">
        <f t="shared" si="21"/>
        <v>ERROR</v>
      </c>
      <c r="AJ110" t="str">
        <f t="shared" si="22"/>
        <v>OK</v>
      </c>
      <c r="AK110" t="str">
        <f t="shared" si="23"/>
        <v>OK</v>
      </c>
      <c r="AL110" t="str">
        <f t="shared" si="24"/>
        <v>OK</v>
      </c>
      <c r="AM110" t="str">
        <f t="shared" si="25"/>
        <v>OK</v>
      </c>
      <c r="AN110" t="str">
        <f t="shared" si="26"/>
        <v>OK</v>
      </c>
      <c r="AO110" t="str">
        <f t="shared" si="27"/>
        <v>OK</v>
      </c>
      <c r="AP110" t="str">
        <f t="shared" si="28"/>
        <v>OK</v>
      </c>
      <c r="AQ110" t="str">
        <f t="shared" si="29"/>
        <v>OK</v>
      </c>
    </row>
    <row r="111" spans="1:43" x14ac:dyDescent="0.3">
      <c r="A111" t="s">
        <v>530</v>
      </c>
      <c r="B111" s="1">
        <v>45592</v>
      </c>
      <c r="C111" t="s">
        <v>531</v>
      </c>
      <c r="D111" t="s">
        <v>39</v>
      </c>
      <c r="E111" t="s">
        <v>532</v>
      </c>
      <c r="F111" t="s">
        <v>54</v>
      </c>
      <c r="G111" t="s">
        <v>533</v>
      </c>
      <c r="H111">
        <v>1799</v>
      </c>
      <c r="I111">
        <v>1</v>
      </c>
      <c r="J111">
        <v>1799</v>
      </c>
      <c r="K111" t="s">
        <v>43</v>
      </c>
      <c r="L111">
        <v>20</v>
      </c>
      <c r="M111" t="s">
        <v>30</v>
      </c>
      <c r="N111" t="s">
        <v>45</v>
      </c>
      <c r="O111" t="s">
        <v>195</v>
      </c>
      <c r="P111" t="s">
        <v>184</v>
      </c>
      <c r="Q111" t="s">
        <v>57</v>
      </c>
      <c r="R111" s="1">
        <v>45604</v>
      </c>
      <c r="S111" t="s">
        <v>34</v>
      </c>
      <c r="T111" t="s">
        <v>35</v>
      </c>
      <c r="U111" t="s">
        <v>29</v>
      </c>
      <c r="V111" s="1"/>
      <c r="W111" t="s">
        <v>36</v>
      </c>
      <c r="AB111" s="2">
        <f t="shared" si="15"/>
        <v>1</v>
      </c>
      <c r="AC111">
        <f t="shared" si="16"/>
        <v>0</v>
      </c>
      <c r="AD111">
        <f t="shared" si="17"/>
        <v>2</v>
      </c>
      <c r="AE111" t="str">
        <f t="shared" si="18"/>
        <v>OK</v>
      </c>
      <c r="AF111" t="str">
        <f t="shared" si="19"/>
        <v>OK</v>
      </c>
      <c r="AG111" t="str">
        <f t="shared" si="20"/>
        <v>OK</v>
      </c>
      <c r="AI111" t="str">
        <f t="shared" si="21"/>
        <v>ERROR</v>
      </c>
      <c r="AJ111" t="str">
        <f t="shared" si="22"/>
        <v>OK</v>
      </c>
      <c r="AK111" t="str">
        <f t="shared" si="23"/>
        <v>OK</v>
      </c>
      <c r="AL111" t="str">
        <f t="shared" si="24"/>
        <v>OK</v>
      </c>
      <c r="AM111" t="str">
        <f t="shared" si="25"/>
        <v>ERROR</v>
      </c>
      <c r="AN111" t="str">
        <f t="shared" si="26"/>
        <v>OK</v>
      </c>
      <c r="AO111" t="str">
        <f t="shared" si="27"/>
        <v>OK</v>
      </c>
      <c r="AP111" t="str">
        <f t="shared" si="28"/>
        <v>OK</v>
      </c>
      <c r="AQ111" t="str">
        <f t="shared" si="29"/>
        <v>OK</v>
      </c>
    </row>
    <row r="112" spans="1:43" x14ac:dyDescent="0.3">
      <c r="A112" t="s">
        <v>534</v>
      </c>
      <c r="B112" s="1">
        <v>45593</v>
      </c>
      <c r="C112" t="s">
        <v>535</v>
      </c>
      <c r="D112" t="s">
        <v>25</v>
      </c>
      <c r="E112" t="s">
        <v>536</v>
      </c>
      <c r="F112" t="s">
        <v>41</v>
      </c>
      <c r="G112" t="s">
        <v>537</v>
      </c>
      <c r="H112">
        <v>3499</v>
      </c>
      <c r="I112">
        <v>1</v>
      </c>
      <c r="J112">
        <v>3499</v>
      </c>
      <c r="K112" t="s">
        <v>538</v>
      </c>
      <c r="L112">
        <v>40</v>
      </c>
      <c r="M112" t="s">
        <v>44</v>
      </c>
      <c r="N112" t="s">
        <v>31</v>
      </c>
      <c r="O112" t="s">
        <v>46</v>
      </c>
      <c r="P112" t="s">
        <v>46</v>
      </c>
      <c r="Q112" t="s">
        <v>46</v>
      </c>
      <c r="R112" s="1">
        <v>45598</v>
      </c>
      <c r="S112" t="s">
        <v>34</v>
      </c>
      <c r="T112" t="s">
        <v>47</v>
      </c>
      <c r="U112" t="s">
        <v>48</v>
      </c>
      <c r="V112" s="1">
        <v>45614</v>
      </c>
      <c r="W112" t="s">
        <v>49</v>
      </c>
      <c r="AB112" s="2">
        <f t="shared" si="15"/>
        <v>1</v>
      </c>
      <c r="AC112">
        <f t="shared" si="16"/>
        <v>0</v>
      </c>
      <c r="AD112">
        <f t="shared" si="17"/>
        <v>2</v>
      </c>
      <c r="AE112" t="str">
        <f t="shared" si="18"/>
        <v>OK</v>
      </c>
      <c r="AF112" t="str">
        <f t="shared" si="19"/>
        <v>OK</v>
      </c>
      <c r="AG112" t="str">
        <f t="shared" si="20"/>
        <v>OK</v>
      </c>
      <c r="AI112" t="str">
        <f t="shared" si="21"/>
        <v>ERROR</v>
      </c>
      <c r="AJ112" t="str">
        <f t="shared" si="22"/>
        <v>OK</v>
      </c>
      <c r="AK112" t="str">
        <f t="shared" si="23"/>
        <v>OK</v>
      </c>
      <c r="AL112" t="str">
        <f t="shared" si="24"/>
        <v>OK</v>
      </c>
      <c r="AM112" t="str">
        <f t="shared" si="25"/>
        <v>OK</v>
      </c>
      <c r="AN112" t="str">
        <f t="shared" si="26"/>
        <v>OK</v>
      </c>
      <c r="AO112" t="str">
        <f t="shared" si="27"/>
        <v>OK</v>
      </c>
      <c r="AP112" t="str">
        <f t="shared" si="28"/>
        <v>OK</v>
      </c>
      <c r="AQ112" t="str">
        <f t="shared" si="29"/>
        <v>OK</v>
      </c>
    </row>
    <row r="113" spans="1:43" x14ac:dyDescent="0.3">
      <c r="A113" t="s">
        <v>539</v>
      </c>
      <c r="B113" s="1">
        <v>45593</v>
      </c>
      <c r="C113" t="s">
        <v>540</v>
      </c>
      <c r="D113" t="s">
        <v>25</v>
      </c>
      <c r="E113" t="s">
        <v>541</v>
      </c>
      <c r="F113" t="s">
        <v>62</v>
      </c>
      <c r="G113" t="s">
        <v>542</v>
      </c>
      <c r="H113">
        <v>5999</v>
      </c>
      <c r="I113">
        <v>1</v>
      </c>
      <c r="J113">
        <v>5999</v>
      </c>
      <c r="K113" t="s">
        <v>538</v>
      </c>
      <c r="L113">
        <v>40</v>
      </c>
      <c r="M113" t="s">
        <v>56</v>
      </c>
      <c r="N113" t="s">
        <v>45</v>
      </c>
      <c r="O113" t="s">
        <v>32</v>
      </c>
      <c r="P113" t="s">
        <v>33</v>
      </c>
      <c r="Q113" t="s">
        <v>32</v>
      </c>
      <c r="R113" s="1">
        <v>45599</v>
      </c>
      <c r="S113" t="s">
        <v>34</v>
      </c>
      <c r="T113" t="s">
        <v>47</v>
      </c>
      <c r="U113" t="s">
        <v>105</v>
      </c>
      <c r="V113" s="1">
        <v>45616</v>
      </c>
      <c r="W113" t="s">
        <v>49</v>
      </c>
      <c r="AB113" s="2">
        <f t="shared" si="15"/>
        <v>1</v>
      </c>
      <c r="AC113">
        <f t="shared" si="16"/>
        <v>0</v>
      </c>
      <c r="AD113">
        <f t="shared" si="17"/>
        <v>2</v>
      </c>
      <c r="AE113" t="str">
        <f t="shared" si="18"/>
        <v>OK</v>
      </c>
      <c r="AF113" t="str">
        <f t="shared" si="19"/>
        <v>OK</v>
      </c>
      <c r="AG113" t="str">
        <f t="shared" si="20"/>
        <v>OK</v>
      </c>
      <c r="AI113" t="str">
        <f t="shared" si="21"/>
        <v>ERROR</v>
      </c>
      <c r="AJ113" t="str">
        <f t="shared" si="22"/>
        <v>OK</v>
      </c>
      <c r="AK113" t="str">
        <f t="shared" si="23"/>
        <v>OK</v>
      </c>
      <c r="AL113" t="str">
        <f t="shared" si="24"/>
        <v>OK</v>
      </c>
      <c r="AM113" t="str">
        <f t="shared" si="25"/>
        <v>OK</v>
      </c>
      <c r="AN113" t="str">
        <f t="shared" si="26"/>
        <v>OK</v>
      </c>
      <c r="AO113" t="str">
        <f t="shared" si="27"/>
        <v>OK</v>
      </c>
      <c r="AP113" t="str">
        <f t="shared" si="28"/>
        <v>OK</v>
      </c>
      <c r="AQ113" t="str">
        <f t="shared" si="29"/>
        <v>OK</v>
      </c>
    </row>
    <row r="114" spans="1:43" x14ac:dyDescent="0.3">
      <c r="A114" t="s">
        <v>543</v>
      </c>
      <c r="B114" s="1">
        <v>45593</v>
      </c>
      <c r="C114" t="s">
        <v>544</v>
      </c>
      <c r="D114" t="s">
        <v>25</v>
      </c>
      <c r="E114" t="s">
        <v>545</v>
      </c>
      <c r="F114" t="s">
        <v>27</v>
      </c>
      <c r="G114" t="s">
        <v>546</v>
      </c>
      <c r="H114">
        <v>2299</v>
      </c>
      <c r="I114">
        <v>2</v>
      </c>
      <c r="J114">
        <v>4598</v>
      </c>
      <c r="K114" t="s">
        <v>538</v>
      </c>
      <c r="L114">
        <v>40</v>
      </c>
      <c r="M114" t="s">
        <v>30</v>
      </c>
      <c r="N114" t="s">
        <v>66</v>
      </c>
      <c r="O114" t="s">
        <v>103</v>
      </c>
      <c r="P114" t="s">
        <v>104</v>
      </c>
      <c r="Q114" t="s">
        <v>46</v>
      </c>
      <c r="R114" s="1">
        <v>45600</v>
      </c>
      <c r="S114" t="s">
        <v>34</v>
      </c>
      <c r="T114" t="s">
        <v>47</v>
      </c>
      <c r="U114" t="s">
        <v>48</v>
      </c>
      <c r="V114" s="1">
        <v>45618</v>
      </c>
      <c r="W114" t="s">
        <v>49</v>
      </c>
      <c r="AB114" s="2">
        <f t="shared" si="15"/>
        <v>1</v>
      </c>
      <c r="AC114">
        <f t="shared" si="16"/>
        <v>0</v>
      </c>
      <c r="AD114">
        <f t="shared" si="17"/>
        <v>2</v>
      </c>
      <c r="AE114" t="str">
        <f t="shared" si="18"/>
        <v>OK</v>
      </c>
      <c r="AF114" t="str">
        <f t="shared" si="19"/>
        <v>OK</v>
      </c>
      <c r="AG114" t="str">
        <f t="shared" si="20"/>
        <v>OK</v>
      </c>
      <c r="AI114" t="str">
        <f t="shared" si="21"/>
        <v>ERROR</v>
      </c>
      <c r="AJ114" t="str">
        <f t="shared" si="22"/>
        <v>OK</v>
      </c>
      <c r="AK114" t="str">
        <f t="shared" si="23"/>
        <v>OK</v>
      </c>
      <c r="AL114" t="str">
        <f t="shared" si="24"/>
        <v>OK</v>
      </c>
      <c r="AM114" t="str">
        <f t="shared" si="25"/>
        <v>OK</v>
      </c>
      <c r="AN114" t="str">
        <f t="shared" si="26"/>
        <v>OK</v>
      </c>
      <c r="AO114" t="str">
        <f t="shared" si="27"/>
        <v>OK</v>
      </c>
      <c r="AP114" t="str">
        <f t="shared" si="28"/>
        <v>OK</v>
      </c>
      <c r="AQ114" t="str">
        <f t="shared" si="29"/>
        <v>OK</v>
      </c>
    </row>
    <row r="115" spans="1:43" x14ac:dyDescent="0.3">
      <c r="A115" t="s">
        <v>547</v>
      </c>
      <c r="B115" s="1">
        <v>45593</v>
      </c>
      <c r="C115" t="s">
        <v>548</v>
      </c>
      <c r="D115" t="s">
        <v>39</v>
      </c>
      <c r="E115" t="s">
        <v>370</v>
      </c>
      <c r="F115" t="s">
        <v>72</v>
      </c>
      <c r="G115" t="s">
        <v>549</v>
      </c>
      <c r="H115">
        <v>1599</v>
      </c>
      <c r="I115">
        <v>1</v>
      </c>
      <c r="J115">
        <v>1599</v>
      </c>
      <c r="K115" t="s">
        <v>538</v>
      </c>
      <c r="L115">
        <v>40</v>
      </c>
      <c r="M115" t="s">
        <v>44</v>
      </c>
      <c r="N115" t="s">
        <v>31</v>
      </c>
      <c r="O115" t="s">
        <v>113</v>
      </c>
      <c r="P115" t="s">
        <v>114</v>
      </c>
      <c r="Q115" t="s">
        <v>46</v>
      </c>
      <c r="R115" s="1">
        <v>45599</v>
      </c>
      <c r="S115" t="s">
        <v>34</v>
      </c>
      <c r="T115" t="s">
        <v>35</v>
      </c>
      <c r="U115" t="s">
        <v>29</v>
      </c>
      <c r="V115" s="1"/>
      <c r="W115" t="s">
        <v>36</v>
      </c>
      <c r="AB115" s="2">
        <f t="shared" si="15"/>
        <v>1</v>
      </c>
      <c r="AC115">
        <f t="shared" si="16"/>
        <v>0</v>
      </c>
      <c r="AD115">
        <f t="shared" si="17"/>
        <v>2</v>
      </c>
      <c r="AE115" t="str">
        <f t="shared" si="18"/>
        <v>OK</v>
      </c>
      <c r="AF115" t="str">
        <f t="shared" si="19"/>
        <v>OK</v>
      </c>
      <c r="AG115" t="str">
        <f t="shared" si="20"/>
        <v>OK</v>
      </c>
      <c r="AI115" t="str">
        <f t="shared" si="21"/>
        <v>ERROR</v>
      </c>
      <c r="AJ115" t="str">
        <f t="shared" si="22"/>
        <v>OK</v>
      </c>
      <c r="AK115" t="str">
        <f t="shared" si="23"/>
        <v>OK</v>
      </c>
      <c r="AL115" t="str">
        <f t="shared" si="24"/>
        <v>OK</v>
      </c>
      <c r="AM115" t="str">
        <f t="shared" si="25"/>
        <v>ERROR</v>
      </c>
      <c r="AN115" t="str">
        <f t="shared" si="26"/>
        <v>OK</v>
      </c>
      <c r="AO115" t="str">
        <f t="shared" si="27"/>
        <v>OK</v>
      </c>
      <c r="AP115" t="str">
        <f t="shared" si="28"/>
        <v>OK</v>
      </c>
      <c r="AQ115" t="str">
        <f t="shared" si="29"/>
        <v>OK</v>
      </c>
    </row>
    <row r="116" spans="1:43" x14ac:dyDescent="0.3">
      <c r="A116" t="s">
        <v>550</v>
      </c>
      <c r="B116" s="1">
        <v>45593</v>
      </c>
      <c r="C116" t="s">
        <v>551</v>
      </c>
      <c r="D116" t="s">
        <v>25</v>
      </c>
      <c r="E116" t="s">
        <v>552</v>
      </c>
      <c r="F116" t="s">
        <v>54</v>
      </c>
      <c r="G116" t="s">
        <v>255</v>
      </c>
      <c r="H116">
        <v>1899</v>
      </c>
      <c r="I116">
        <v>1</v>
      </c>
      <c r="J116">
        <v>1899</v>
      </c>
      <c r="K116" t="s">
        <v>538</v>
      </c>
      <c r="L116">
        <v>40</v>
      </c>
      <c r="M116" t="s">
        <v>56</v>
      </c>
      <c r="N116" t="s">
        <v>45</v>
      </c>
      <c r="O116" t="s">
        <v>67</v>
      </c>
      <c r="P116" t="s">
        <v>68</v>
      </c>
      <c r="Q116" t="s">
        <v>57</v>
      </c>
      <c r="R116" s="1"/>
      <c r="S116" t="s">
        <v>121</v>
      </c>
      <c r="T116" t="s">
        <v>35</v>
      </c>
      <c r="U116" t="s">
        <v>29</v>
      </c>
      <c r="V116" s="1"/>
      <c r="W116" t="s">
        <v>36</v>
      </c>
      <c r="AB116" s="2">
        <f t="shared" si="15"/>
        <v>1</v>
      </c>
      <c r="AC116">
        <f t="shared" si="16"/>
        <v>0</v>
      </c>
      <c r="AD116">
        <f t="shared" si="17"/>
        <v>2</v>
      </c>
      <c r="AE116" t="str">
        <f t="shared" si="18"/>
        <v>OK</v>
      </c>
      <c r="AF116" t="str">
        <f t="shared" si="19"/>
        <v>OK</v>
      </c>
      <c r="AG116" t="str">
        <f t="shared" si="20"/>
        <v>OK</v>
      </c>
      <c r="AI116" t="str">
        <f t="shared" si="21"/>
        <v>ERROR</v>
      </c>
      <c r="AJ116" t="str">
        <f t="shared" si="22"/>
        <v>ERROR</v>
      </c>
      <c r="AK116" t="str">
        <f t="shared" si="23"/>
        <v>OK</v>
      </c>
      <c r="AL116" t="str">
        <f t="shared" si="24"/>
        <v>OK</v>
      </c>
      <c r="AM116" t="str">
        <f t="shared" si="25"/>
        <v>OK</v>
      </c>
      <c r="AN116" t="str">
        <f t="shared" si="26"/>
        <v>OK</v>
      </c>
      <c r="AO116" t="str">
        <f t="shared" si="27"/>
        <v>OK</v>
      </c>
      <c r="AP116" t="str">
        <f t="shared" si="28"/>
        <v>OK</v>
      </c>
      <c r="AQ116" t="str">
        <f t="shared" si="29"/>
        <v>OK</v>
      </c>
    </row>
    <row r="117" spans="1:43" x14ac:dyDescent="0.3">
      <c r="A117" t="s">
        <v>553</v>
      </c>
      <c r="B117" s="1">
        <v>45594</v>
      </c>
      <c r="C117" t="s">
        <v>554</v>
      </c>
      <c r="D117" t="s">
        <v>25</v>
      </c>
      <c r="E117" t="s">
        <v>555</v>
      </c>
      <c r="F117" t="s">
        <v>41</v>
      </c>
      <c r="G117" t="s">
        <v>556</v>
      </c>
      <c r="H117">
        <v>4299</v>
      </c>
      <c r="I117">
        <v>1</v>
      </c>
      <c r="J117">
        <v>4299</v>
      </c>
      <c r="K117" t="s">
        <v>538</v>
      </c>
      <c r="L117">
        <v>40</v>
      </c>
      <c r="M117" t="s">
        <v>65</v>
      </c>
      <c r="N117" t="s">
        <v>31</v>
      </c>
      <c r="O117" t="s">
        <v>78</v>
      </c>
      <c r="P117" t="s">
        <v>79</v>
      </c>
      <c r="Q117" t="s">
        <v>57</v>
      </c>
      <c r="R117" s="1">
        <v>45601</v>
      </c>
      <c r="S117" t="s">
        <v>34</v>
      </c>
      <c r="T117" t="s">
        <v>47</v>
      </c>
      <c r="U117" t="s">
        <v>69</v>
      </c>
      <c r="V117" s="1">
        <v>45621</v>
      </c>
      <c r="W117" t="s">
        <v>49</v>
      </c>
      <c r="AB117" s="2">
        <f t="shared" si="15"/>
        <v>1</v>
      </c>
      <c r="AC117">
        <f t="shared" si="16"/>
        <v>0</v>
      </c>
      <c r="AD117">
        <f t="shared" si="17"/>
        <v>2</v>
      </c>
      <c r="AE117" t="str">
        <f t="shared" si="18"/>
        <v>OK</v>
      </c>
      <c r="AF117" t="str">
        <f t="shared" si="19"/>
        <v>OK</v>
      </c>
      <c r="AG117" t="str">
        <f t="shared" si="20"/>
        <v>OK</v>
      </c>
      <c r="AI117" t="str">
        <f t="shared" si="21"/>
        <v>ERROR</v>
      </c>
      <c r="AJ117" t="str">
        <f t="shared" si="22"/>
        <v>OK</v>
      </c>
      <c r="AK117" t="str">
        <f t="shared" si="23"/>
        <v>OK</v>
      </c>
      <c r="AL117" t="str">
        <f t="shared" si="24"/>
        <v>OK</v>
      </c>
      <c r="AM117" t="str">
        <f t="shared" si="25"/>
        <v>OK</v>
      </c>
      <c r="AN117" t="str">
        <f t="shared" si="26"/>
        <v>OK</v>
      </c>
      <c r="AO117" t="str">
        <f t="shared" si="27"/>
        <v>OK</v>
      </c>
      <c r="AP117" t="str">
        <f t="shared" si="28"/>
        <v>OK</v>
      </c>
      <c r="AQ117" t="str">
        <f t="shared" si="29"/>
        <v>OK</v>
      </c>
    </row>
    <row r="118" spans="1:43" x14ac:dyDescent="0.3">
      <c r="A118" t="s">
        <v>557</v>
      </c>
      <c r="B118" s="1">
        <v>45594</v>
      </c>
      <c r="C118" t="s">
        <v>558</v>
      </c>
      <c r="D118" t="s">
        <v>25</v>
      </c>
      <c r="E118" t="s">
        <v>559</v>
      </c>
      <c r="F118" t="s">
        <v>27</v>
      </c>
      <c r="G118" t="s">
        <v>560</v>
      </c>
      <c r="H118">
        <v>2599</v>
      </c>
      <c r="I118">
        <v>1</v>
      </c>
      <c r="J118">
        <v>2599</v>
      </c>
      <c r="K118" t="s">
        <v>538</v>
      </c>
      <c r="L118">
        <v>40</v>
      </c>
      <c r="M118" t="s">
        <v>30</v>
      </c>
      <c r="N118" t="s">
        <v>66</v>
      </c>
      <c r="O118" t="s">
        <v>85</v>
      </c>
      <c r="P118" t="s">
        <v>33</v>
      </c>
      <c r="Q118" t="s">
        <v>32</v>
      </c>
      <c r="R118" s="1">
        <v>45602</v>
      </c>
      <c r="S118" t="s">
        <v>34</v>
      </c>
      <c r="T118" t="s">
        <v>47</v>
      </c>
      <c r="U118" t="s">
        <v>80</v>
      </c>
      <c r="V118" s="1">
        <v>45624</v>
      </c>
      <c r="W118" t="s">
        <v>106</v>
      </c>
      <c r="AB118" s="2">
        <f t="shared" si="15"/>
        <v>1</v>
      </c>
      <c r="AC118">
        <f t="shared" si="16"/>
        <v>0</v>
      </c>
      <c r="AD118">
        <f t="shared" si="17"/>
        <v>2</v>
      </c>
      <c r="AE118" t="str">
        <f t="shared" si="18"/>
        <v>OK</v>
      </c>
      <c r="AF118" t="str">
        <f t="shared" si="19"/>
        <v>OK</v>
      </c>
      <c r="AG118" t="str">
        <f t="shared" si="20"/>
        <v>OK</v>
      </c>
      <c r="AI118" t="str">
        <f t="shared" si="21"/>
        <v>ERROR</v>
      </c>
      <c r="AJ118" t="str">
        <f t="shared" si="22"/>
        <v>OK</v>
      </c>
      <c r="AK118" t="str">
        <f t="shared" si="23"/>
        <v>OK</v>
      </c>
      <c r="AL118" t="str">
        <f t="shared" si="24"/>
        <v>OK</v>
      </c>
      <c r="AM118" t="str">
        <f t="shared" si="25"/>
        <v>OK</v>
      </c>
      <c r="AN118" t="str">
        <f t="shared" si="26"/>
        <v>OK</v>
      </c>
      <c r="AO118" t="str">
        <f t="shared" si="27"/>
        <v>OK</v>
      </c>
      <c r="AP118" t="str">
        <f t="shared" si="28"/>
        <v>OK</v>
      </c>
      <c r="AQ118" t="str">
        <f t="shared" si="29"/>
        <v>OK</v>
      </c>
    </row>
    <row r="119" spans="1:43" x14ac:dyDescent="0.3">
      <c r="A119" t="s">
        <v>561</v>
      </c>
      <c r="B119" s="1">
        <v>45594</v>
      </c>
      <c r="C119" t="s">
        <v>562</v>
      </c>
      <c r="D119" t="s">
        <v>25</v>
      </c>
      <c r="E119" t="s">
        <v>485</v>
      </c>
      <c r="F119" t="s">
        <v>62</v>
      </c>
      <c r="G119" t="s">
        <v>563</v>
      </c>
      <c r="H119">
        <v>3999</v>
      </c>
      <c r="I119">
        <v>1</v>
      </c>
      <c r="J119">
        <v>3999</v>
      </c>
      <c r="K119" t="s">
        <v>538</v>
      </c>
      <c r="L119">
        <v>40</v>
      </c>
      <c r="M119" t="s">
        <v>44</v>
      </c>
      <c r="N119" t="s">
        <v>45</v>
      </c>
      <c r="O119" t="s">
        <v>564</v>
      </c>
      <c r="P119" t="s">
        <v>120</v>
      </c>
      <c r="Q119" t="s">
        <v>46</v>
      </c>
      <c r="R119" s="1">
        <v>45603</v>
      </c>
      <c r="S119" t="s">
        <v>34</v>
      </c>
      <c r="T119" t="s">
        <v>47</v>
      </c>
      <c r="U119" t="s">
        <v>48</v>
      </c>
      <c r="V119" s="1">
        <v>45627</v>
      </c>
      <c r="W119" t="s">
        <v>49</v>
      </c>
      <c r="AB119" s="2">
        <f t="shared" si="15"/>
        <v>1</v>
      </c>
      <c r="AC119">
        <f t="shared" si="16"/>
        <v>0</v>
      </c>
      <c r="AD119">
        <f t="shared" si="17"/>
        <v>2</v>
      </c>
      <c r="AE119" t="str">
        <f t="shared" si="18"/>
        <v>OK</v>
      </c>
      <c r="AF119" t="str">
        <f t="shared" si="19"/>
        <v>OK</v>
      </c>
      <c r="AG119" t="str">
        <f t="shared" si="20"/>
        <v>OK</v>
      </c>
      <c r="AI119" t="str">
        <f t="shared" si="21"/>
        <v>ERROR</v>
      </c>
      <c r="AJ119" t="str">
        <f t="shared" si="22"/>
        <v>OK</v>
      </c>
      <c r="AK119" t="str">
        <f t="shared" si="23"/>
        <v>OK</v>
      </c>
      <c r="AL119" t="str">
        <f t="shared" si="24"/>
        <v>OK</v>
      </c>
      <c r="AM119" t="str">
        <f t="shared" si="25"/>
        <v>OK</v>
      </c>
      <c r="AN119" t="str">
        <f t="shared" si="26"/>
        <v>OK</v>
      </c>
      <c r="AO119" t="str">
        <f t="shared" si="27"/>
        <v>OK</v>
      </c>
      <c r="AP119" t="str">
        <f t="shared" si="28"/>
        <v>OK</v>
      </c>
      <c r="AQ119" t="str">
        <f t="shared" si="29"/>
        <v>OK</v>
      </c>
    </row>
    <row r="120" spans="1:43" x14ac:dyDescent="0.3">
      <c r="A120" t="s">
        <v>565</v>
      </c>
      <c r="B120" s="1">
        <v>45594</v>
      </c>
      <c r="C120" t="s">
        <v>566</v>
      </c>
      <c r="D120" t="s">
        <v>39</v>
      </c>
      <c r="E120" t="s">
        <v>567</v>
      </c>
      <c r="F120" t="s">
        <v>41</v>
      </c>
      <c r="G120" t="s">
        <v>568</v>
      </c>
      <c r="H120">
        <v>8999</v>
      </c>
      <c r="I120">
        <v>1</v>
      </c>
      <c r="J120">
        <v>8999</v>
      </c>
      <c r="K120" t="s">
        <v>538</v>
      </c>
      <c r="L120">
        <v>40</v>
      </c>
      <c r="M120" t="s">
        <v>44</v>
      </c>
      <c r="N120" t="s">
        <v>31</v>
      </c>
      <c r="O120" t="s">
        <v>97</v>
      </c>
      <c r="P120" t="s">
        <v>98</v>
      </c>
      <c r="Q120" t="s">
        <v>32</v>
      </c>
      <c r="R120" s="1">
        <v>45602</v>
      </c>
      <c r="S120" t="s">
        <v>34</v>
      </c>
      <c r="T120" t="s">
        <v>47</v>
      </c>
      <c r="U120" t="s">
        <v>48</v>
      </c>
      <c r="V120" s="1">
        <v>45628</v>
      </c>
      <c r="W120" t="s">
        <v>49</v>
      </c>
      <c r="AB120" s="2">
        <f t="shared" si="15"/>
        <v>1</v>
      </c>
      <c r="AC120">
        <f t="shared" si="16"/>
        <v>0</v>
      </c>
      <c r="AD120">
        <f t="shared" si="17"/>
        <v>2</v>
      </c>
      <c r="AE120" t="str">
        <f t="shared" si="18"/>
        <v>OK</v>
      </c>
      <c r="AF120" t="str">
        <f t="shared" si="19"/>
        <v>OK</v>
      </c>
      <c r="AG120" t="str">
        <f t="shared" si="20"/>
        <v>OK</v>
      </c>
      <c r="AI120" t="str">
        <f t="shared" si="21"/>
        <v>ERROR</v>
      </c>
      <c r="AJ120" t="str">
        <f t="shared" si="22"/>
        <v>OK</v>
      </c>
      <c r="AK120" t="str">
        <f t="shared" si="23"/>
        <v>OK</v>
      </c>
      <c r="AL120" t="str">
        <f t="shared" si="24"/>
        <v>OK</v>
      </c>
      <c r="AM120" t="str">
        <f t="shared" si="25"/>
        <v>OK</v>
      </c>
      <c r="AN120" t="str">
        <f t="shared" si="26"/>
        <v>OK</v>
      </c>
      <c r="AO120" t="str">
        <f t="shared" si="27"/>
        <v>OK</v>
      </c>
      <c r="AP120" t="str">
        <f t="shared" si="28"/>
        <v>OK</v>
      </c>
      <c r="AQ120" t="str">
        <f t="shared" si="29"/>
        <v>OK</v>
      </c>
    </row>
    <row r="121" spans="1:43" x14ac:dyDescent="0.3">
      <c r="A121" t="s">
        <v>569</v>
      </c>
      <c r="B121" s="1">
        <v>45594</v>
      </c>
      <c r="C121" t="s">
        <v>570</v>
      </c>
      <c r="D121" t="s">
        <v>25</v>
      </c>
      <c r="E121" t="s">
        <v>571</v>
      </c>
      <c r="F121" t="s">
        <v>72</v>
      </c>
      <c r="G121" t="s">
        <v>572</v>
      </c>
      <c r="H121">
        <v>1299</v>
      </c>
      <c r="I121">
        <v>2</v>
      </c>
      <c r="J121">
        <v>2598</v>
      </c>
      <c r="K121" t="s">
        <v>538</v>
      </c>
      <c r="L121">
        <v>40</v>
      </c>
      <c r="M121" t="s">
        <v>56</v>
      </c>
      <c r="N121" t="s">
        <v>66</v>
      </c>
      <c r="O121" t="s">
        <v>91</v>
      </c>
      <c r="P121" t="s">
        <v>92</v>
      </c>
      <c r="Q121" t="s">
        <v>46</v>
      </c>
      <c r="R121" s="1">
        <v>45604</v>
      </c>
      <c r="S121" t="s">
        <v>34</v>
      </c>
      <c r="T121" t="s">
        <v>47</v>
      </c>
      <c r="U121" t="s">
        <v>139</v>
      </c>
      <c r="V121" s="1">
        <v>45626</v>
      </c>
      <c r="W121" t="s">
        <v>49</v>
      </c>
      <c r="AB121" s="2">
        <f t="shared" si="15"/>
        <v>1</v>
      </c>
      <c r="AC121">
        <f t="shared" si="16"/>
        <v>0</v>
      </c>
      <c r="AD121">
        <f t="shared" si="17"/>
        <v>2</v>
      </c>
      <c r="AE121" t="str">
        <f t="shared" si="18"/>
        <v>OK</v>
      </c>
      <c r="AF121" t="str">
        <f t="shared" si="19"/>
        <v>OK</v>
      </c>
      <c r="AG121" t="str">
        <f t="shared" si="20"/>
        <v>OK</v>
      </c>
      <c r="AI121" t="str">
        <f t="shared" si="21"/>
        <v>ERROR</v>
      </c>
      <c r="AJ121" t="str">
        <f t="shared" si="22"/>
        <v>OK</v>
      </c>
      <c r="AK121" t="str">
        <f t="shared" si="23"/>
        <v>OK</v>
      </c>
      <c r="AL121" t="str">
        <f t="shared" si="24"/>
        <v>OK</v>
      </c>
      <c r="AM121" t="str">
        <f t="shared" si="25"/>
        <v>OK</v>
      </c>
      <c r="AN121" t="str">
        <f t="shared" si="26"/>
        <v>OK</v>
      </c>
      <c r="AO121" t="str">
        <f t="shared" si="27"/>
        <v>OK</v>
      </c>
      <c r="AP121" t="str">
        <f t="shared" si="28"/>
        <v>OK</v>
      </c>
      <c r="AQ121" t="str">
        <f t="shared" si="29"/>
        <v>OK</v>
      </c>
    </row>
    <row r="122" spans="1:43" x14ac:dyDescent="0.3">
      <c r="A122" t="s">
        <v>573</v>
      </c>
      <c r="B122" s="1">
        <v>45594</v>
      </c>
      <c r="C122" t="s">
        <v>574</v>
      </c>
      <c r="D122" t="s">
        <v>25</v>
      </c>
      <c r="E122" t="s">
        <v>575</v>
      </c>
      <c r="F122" t="s">
        <v>27</v>
      </c>
      <c r="G122" t="s">
        <v>576</v>
      </c>
      <c r="H122">
        <v>1999</v>
      </c>
      <c r="I122">
        <v>1</v>
      </c>
      <c r="J122">
        <v>1999</v>
      </c>
      <c r="K122" t="s">
        <v>538</v>
      </c>
      <c r="L122">
        <v>40</v>
      </c>
      <c r="M122" t="s">
        <v>30</v>
      </c>
      <c r="N122" t="s">
        <v>45</v>
      </c>
      <c r="O122" t="s">
        <v>57</v>
      </c>
      <c r="P122" t="s">
        <v>58</v>
      </c>
      <c r="Q122" t="s">
        <v>57</v>
      </c>
      <c r="R122" s="1">
        <v>45603</v>
      </c>
      <c r="S122" t="s">
        <v>34</v>
      </c>
      <c r="T122" t="s">
        <v>47</v>
      </c>
      <c r="U122" t="s">
        <v>69</v>
      </c>
      <c r="V122" s="1">
        <v>45629</v>
      </c>
      <c r="W122" t="s">
        <v>49</v>
      </c>
      <c r="AB122" s="2">
        <f t="shared" si="15"/>
        <v>1</v>
      </c>
      <c r="AC122">
        <f t="shared" si="16"/>
        <v>0</v>
      </c>
      <c r="AD122">
        <f t="shared" si="17"/>
        <v>2</v>
      </c>
      <c r="AE122" t="str">
        <f t="shared" si="18"/>
        <v>OK</v>
      </c>
      <c r="AF122" t="str">
        <f t="shared" si="19"/>
        <v>OK</v>
      </c>
      <c r="AG122" t="str">
        <f t="shared" si="20"/>
        <v>OK</v>
      </c>
      <c r="AI122" t="str">
        <f t="shared" si="21"/>
        <v>ERROR</v>
      </c>
      <c r="AJ122" t="str">
        <f t="shared" si="22"/>
        <v>OK</v>
      </c>
      <c r="AK122" t="str">
        <f t="shared" si="23"/>
        <v>OK</v>
      </c>
      <c r="AL122" t="str">
        <f t="shared" si="24"/>
        <v>OK</v>
      </c>
      <c r="AM122" t="str">
        <f t="shared" si="25"/>
        <v>OK</v>
      </c>
      <c r="AN122" t="str">
        <f t="shared" si="26"/>
        <v>OK</v>
      </c>
      <c r="AO122" t="str">
        <f t="shared" si="27"/>
        <v>OK</v>
      </c>
      <c r="AP122" t="str">
        <f t="shared" si="28"/>
        <v>OK</v>
      </c>
      <c r="AQ122" t="str">
        <f t="shared" si="29"/>
        <v>OK</v>
      </c>
    </row>
    <row r="123" spans="1:43" x14ac:dyDescent="0.3">
      <c r="A123" t="s">
        <v>577</v>
      </c>
      <c r="B123" s="1">
        <v>45595</v>
      </c>
      <c r="C123" t="s">
        <v>578</v>
      </c>
      <c r="D123" t="s">
        <v>25</v>
      </c>
      <c r="E123" t="s">
        <v>579</v>
      </c>
      <c r="F123" t="s">
        <v>54</v>
      </c>
      <c r="G123" t="s">
        <v>580</v>
      </c>
      <c r="H123">
        <v>5499</v>
      </c>
      <c r="I123">
        <v>1</v>
      </c>
      <c r="J123">
        <v>5499</v>
      </c>
      <c r="K123" t="s">
        <v>538</v>
      </c>
      <c r="L123">
        <v>40</v>
      </c>
      <c r="M123" t="s">
        <v>112</v>
      </c>
      <c r="N123" t="s">
        <v>31</v>
      </c>
      <c r="O123" t="s">
        <v>157</v>
      </c>
      <c r="P123" t="s">
        <v>98</v>
      </c>
      <c r="Q123" t="s">
        <v>32</v>
      </c>
      <c r="R123" s="1">
        <v>45604</v>
      </c>
      <c r="S123" t="s">
        <v>34</v>
      </c>
      <c r="T123" t="s">
        <v>47</v>
      </c>
      <c r="U123" t="s">
        <v>48</v>
      </c>
      <c r="V123" s="1">
        <v>45627</v>
      </c>
      <c r="W123" t="s">
        <v>49</v>
      </c>
      <c r="AB123" s="2">
        <f t="shared" si="15"/>
        <v>1</v>
      </c>
      <c r="AC123">
        <f t="shared" si="16"/>
        <v>0</v>
      </c>
      <c r="AD123">
        <f t="shared" si="17"/>
        <v>2</v>
      </c>
      <c r="AE123" t="str">
        <f t="shared" si="18"/>
        <v>OK</v>
      </c>
      <c r="AF123" t="str">
        <f t="shared" si="19"/>
        <v>OK</v>
      </c>
      <c r="AG123" t="str">
        <f t="shared" si="20"/>
        <v>OK</v>
      </c>
      <c r="AI123" t="str">
        <f t="shared" si="21"/>
        <v>ERROR</v>
      </c>
      <c r="AJ123" t="str">
        <f t="shared" si="22"/>
        <v>OK</v>
      </c>
      <c r="AK123" t="str">
        <f t="shared" si="23"/>
        <v>OK</v>
      </c>
      <c r="AL123" t="str">
        <f t="shared" si="24"/>
        <v>OK</v>
      </c>
      <c r="AM123" t="str">
        <f t="shared" si="25"/>
        <v>OK</v>
      </c>
      <c r="AN123" t="str">
        <f t="shared" si="26"/>
        <v>OK</v>
      </c>
      <c r="AO123" t="str">
        <f t="shared" si="27"/>
        <v>OK</v>
      </c>
      <c r="AP123" t="str">
        <f t="shared" si="28"/>
        <v>OK</v>
      </c>
      <c r="AQ123" t="str">
        <f t="shared" si="29"/>
        <v>OK</v>
      </c>
    </row>
    <row r="124" spans="1:43" x14ac:dyDescent="0.3">
      <c r="A124" t="s">
        <v>581</v>
      </c>
      <c r="B124" s="1">
        <v>45595</v>
      </c>
      <c r="C124" t="s">
        <v>582</v>
      </c>
      <c r="D124" t="s">
        <v>25</v>
      </c>
      <c r="E124" t="s">
        <v>583</v>
      </c>
      <c r="F124" t="s">
        <v>41</v>
      </c>
      <c r="G124" t="s">
        <v>584</v>
      </c>
      <c r="H124">
        <v>6999</v>
      </c>
      <c r="I124">
        <v>1</v>
      </c>
      <c r="J124">
        <v>6999</v>
      </c>
      <c r="K124" t="s">
        <v>538</v>
      </c>
      <c r="L124">
        <v>40</v>
      </c>
      <c r="M124" t="s">
        <v>44</v>
      </c>
      <c r="N124" t="s">
        <v>66</v>
      </c>
      <c r="O124" t="s">
        <v>32</v>
      </c>
      <c r="P124" t="s">
        <v>33</v>
      </c>
      <c r="Q124" t="s">
        <v>32</v>
      </c>
      <c r="R124" s="1">
        <v>45605</v>
      </c>
      <c r="S124" t="s">
        <v>34</v>
      </c>
      <c r="T124" t="s">
        <v>47</v>
      </c>
      <c r="U124" t="s">
        <v>48</v>
      </c>
      <c r="V124" s="1">
        <v>45629</v>
      </c>
      <c r="W124" t="s">
        <v>49</v>
      </c>
      <c r="AB124" s="2">
        <f t="shared" si="15"/>
        <v>1</v>
      </c>
      <c r="AC124">
        <f t="shared" si="16"/>
        <v>0</v>
      </c>
      <c r="AD124">
        <f t="shared" si="17"/>
        <v>2</v>
      </c>
      <c r="AE124" t="str">
        <f t="shared" si="18"/>
        <v>OK</v>
      </c>
      <c r="AF124" t="str">
        <f t="shared" si="19"/>
        <v>OK</v>
      </c>
      <c r="AG124" t="str">
        <f t="shared" si="20"/>
        <v>OK</v>
      </c>
      <c r="AI124" t="str">
        <f t="shared" si="21"/>
        <v>ERROR</v>
      </c>
      <c r="AJ124" t="str">
        <f t="shared" si="22"/>
        <v>OK</v>
      </c>
      <c r="AK124" t="str">
        <f t="shared" si="23"/>
        <v>OK</v>
      </c>
      <c r="AL124" t="str">
        <f t="shared" si="24"/>
        <v>OK</v>
      </c>
      <c r="AM124" t="str">
        <f t="shared" si="25"/>
        <v>OK</v>
      </c>
      <c r="AN124" t="str">
        <f t="shared" si="26"/>
        <v>OK</v>
      </c>
      <c r="AO124" t="str">
        <f t="shared" si="27"/>
        <v>OK</v>
      </c>
      <c r="AP124" t="str">
        <f t="shared" si="28"/>
        <v>OK</v>
      </c>
      <c r="AQ124" t="str">
        <f t="shared" si="29"/>
        <v>OK</v>
      </c>
    </row>
    <row r="125" spans="1:43" x14ac:dyDescent="0.3">
      <c r="A125" t="s">
        <v>585</v>
      </c>
      <c r="B125" s="1">
        <v>45595</v>
      </c>
      <c r="C125" t="s">
        <v>586</v>
      </c>
      <c r="D125" t="s">
        <v>39</v>
      </c>
      <c r="E125" t="s">
        <v>587</v>
      </c>
      <c r="F125" t="s">
        <v>62</v>
      </c>
      <c r="G125" t="s">
        <v>588</v>
      </c>
      <c r="H125">
        <v>4999</v>
      </c>
      <c r="I125">
        <v>1</v>
      </c>
      <c r="J125">
        <v>4999</v>
      </c>
      <c r="K125" t="s">
        <v>538</v>
      </c>
      <c r="L125">
        <v>40</v>
      </c>
      <c r="M125" t="s">
        <v>65</v>
      </c>
      <c r="N125" t="s">
        <v>45</v>
      </c>
      <c r="O125" t="s">
        <v>46</v>
      </c>
      <c r="P125" t="s">
        <v>46</v>
      </c>
      <c r="Q125" t="s">
        <v>46</v>
      </c>
      <c r="R125" s="1">
        <v>45606</v>
      </c>
      <c r="S125" t="s">
        <v>34</v>
      </c>
      <c r="T125" t="s">
        <v>35</v>
      </c>
      <c r="U125" t="s">
        <v>29</v>
      </c>
      <c r="V125" s="1"/>
      <c r="W125" t="s">
        <v>36</v>
      </c>
      <c r="AB125" s="2">
        <f t="shared" si="15"/>
        <v>1</v>
      </c>
      <c r="AC125">
        <f t="shared" si="16"/>
        <v>0</v>
      </c>
      <c r="AD125">
        <f t="shared" si="17"/>
        <v>2</v>
      </c>
      <c r="AE125" t="str">
        <f t="shared" si="18"/>
        <v>OK</v>
      </c>
      <c r="AF125" t="str">
        <f t="shared" si="19"/>
        <v>OK</v>
      </c>
      <c r="AG125" t="str">
        <f t="shared" si="20"/>
        <v>OK</v>
      </c>
      <c r="AI125" t="str">
        <f t="shared" si="21"/>
        <v>ERROR</v>
      </c>
      <c r="AJ125" t="str">
        <f t="shared" si="22"/>
        <v>OK</v>
      </c>
      <c r="AK125" t="str">
        <f t="shared" si="23"/>
        <v>OK</v>
      </c>
      <c r="AL125" t="str">
        <f t="shared" si="24"/>
        <v>OK</v>
      </c>
      <c r="AM125" t="str">
        <f t="shared" si="25"/>
        <v>ERROR</v>
      </c>
      <c r="AN125" t="str">
        <f t="shared" si="26"/>
        <v>OK</v>
      </c>
      <c r="AO125" t="str">
        <f t="shared" si="27"/>
        <v>OK</v>
      </c>
      <c r="AP125" t="str">
        <f t="shared" si="28"/>
        <v>OK</v>
      </c>
      <c r="AQ125" t="str">
        <f t="shared" si="29"/>
        <v>OK</v>
      </c>
    </row>
    <row r="126" spans="1:43" x14ac:dyDescent="0.3">
      <c r="A126" t="s">
        <v>589</v>
      </c>
      <c r="B126" s="1">
        <v>45595</v>
      </c>
      <c r="C126" t="s">
        <v>590</v>
      </c>
      <c r="D126" t="s">
        <v>25</v>
      </c>
      <c r="E126" t="s">
        <v>591</v>
      </c>
      <c r="F126" t="s">
        <v>72</v>
      </c>
      <c r="G126" t="s">
        <v>592</v>
      </c>
      <c r="H126">
        <v>899</v>
      </c>
      <c r="I126">
        <v>1</v>
      </c>
      <c r="J126">
        <v>899</v>
      </c>
      <c r="K126" t="s">
        <v>538</v>
      </c>
      <c r="L126">
        <v>40</v>
      </c>
      <c r="M126" t="s">
        <v>30</v>
      </c>
      <c r="N126" t="s">
        <v>31</v>
      </c>
      <c r="O126" t="s">
        <v>593</v>
      </c>
      <c r="P126" t="s">
        <v>114</v>
      </c>
      <c r="Q126" t="s">
        <v>46</v>
      </c>
      <c r="R126" s="1">
        <v>45606</v>
      </c>
      <c r="S126" t="s">
        <v>34</v>
      </c>
      <c r="T126" t="s">
        <v>35</v>
      </c>
      <c r="U126" t="s">
        <v>29</v>
      </c>
      <c r="V126" s="1"/>
      <c r="W126" t="s">
        <v>36</v>
      </c>
      <c r="AB126" s="2">
        <f t="shared" si="15"/>
        <v>1</v>
      </c>
      <c r="AC126">
        <f t="shared" si="16"/>
        <v>0</v>
      </c>
      <c r="AD126">
        <f t="shared" si="17"/>
        <v>2</v>
      </c>
      <c r="AE126" t="str">
        <f t="shared" si="18"/>
        <v>OK</v>
      </c>
      <c r="AF126" t="str">
        <f t="shared" si="19"/>
        <v>OK</v>
      </c>
      <c r="AG126" t="str">
        <f t="shared" si="20"/>
        <v>OK</v>
      </c>
      <c r="AI126" t="str">
        <f t="shared" si="21"/>
        <v>ERROR</v>
      </c>
      <c r="AJ126" t="str">
        <f t="shared" si="22"/>
        <v>OK</v>
      </c>
      <c r="AK126" t="str">
        <f t="shared" si="23"/>
        <v>OK</v>
      </c>
      <c r="AL126" t="str">
        <f t="shared" si="24"/>
        <v>OK</v>
      </c>
      <c r="AM126" t="str">
        <f t="shared" si="25"/>
        <v>ERROR</v>
      </c>
      <c r="AN126" t="str">
        <f t="shared" si="26"/>
        <v>OK</v>
      </c>
      <c r="AO126" t="str">
        <f t="shared" si="27"/>
        <v>OK</v>
      </c>
      <c r="AP126" t="str">
        <f t="shared" si="28"/>
        <v>OK</v>
      </c>
      <c r="AQ126" t="str">
        <f t="shared" si="29"/>
        <v>OK</v>
      </c>
    </row>
    <row r="127" spans="1:43" x14ac:dyDescent="0.3">
      <c r="A127" t="s">
        <v>594</v>
      </c>
      <c r="B127" s="1">
        <v>45595</v>
      </c>
      <c r="C127" t="s">
        <v>595</v>
      </c>
      <c r="D127" t="s">
        <v>25</v>
      </c>
      <c r="E127" t="s">
        <v>596</v>
      </c>
      <c r="F127" t="s">
        <v>27</v>
      </c>
      <c r="G127" t="s">
        <v>597</v>
      </c>
      <c r="H127">
        <v>3299</v>
      </c>
      <c r="I127">
        <v>1</v>
      </c>
      <c r="J127">
        <v>3299</v>
      </c>
      <c r="K127" t="s">
        <v>538</v>
      </c>
      <c r="L127">
        <v>40</v>
      </c>
      <c r="M127" t="s">
        <v>56</v>
      </c>
      <c r="N127" t="s">
        <v>66</v>
      </c>
      <c r="O127" t="s">
        <v>103</v>
      </c>
      <c r="P127" t="s">
        <v>104</v>
      </c>
      <c r="Q127" t="s">
        <v>46</v>
      </c>
      <c r="R127" s="1">
        <v>45608</v>
      </c>
      <c r="S127" t="s">
        <v>34</v>
      </c>
      <c r="T127" t="s">
        <v>47</v>
      </c>
      <c r="U127" t="s">
        <v>105</v>
      </c>
      <c r="V127" s="1">
        <v>45631</v>
      </c>
      <c r="W127" t="s">
        <v>106</v>
      </c>
      <c r="AB127" s="2">
        <f t="shared" si="15"/>
        <v>1</v>
      </c>
      <c r="AC127">
        <f t="shared" si="16"/>
        <v>0</v>
      </c>
      <c r="AD127">
        <f t="shared" si="17"/>
        <v>2</v>
      </c>
      <c r="AE127" t="str">
        <f t="shared" si="18"/>
        <v>OK</v>
      </c>
      <c r="AF127" t="str">
        <f t="shared" si="19"/>
        <v>OK</v>
      </c>
      <c r="AG127" t="str">
        <f t="shared" si="20"/>
        <v>OK</v>
      </c>
      <c r="AI127" t="str">
        <f t="shared" si="21"/>
        <v>ERROR</v>
      </c>
      <c r="AJ127" t="str">
        <f t="shared" si="22"/>
        <v>OK</v>
      </c>
      <c r="AK127" t="str">
        <f t="shared" si="23"/>
        <v>OK</v>
      </c>
      <c r="AL127" t="str">
        <f t="shared" si="24"/>
        <v>OK</v>
      </c>
      <c r="AM127" t="str">
        <f t="shared" si="25"/>
        <v>OK</v>
      </c>
      <c r="AN127" t="str">
        <f t="shared" si="26"/>
        <v>OK</v>
      </c>
      <c r="AO127" t="str">
        <f t="shared" si="27"/>
        <v>OK</v>
      </c>
      <c r="AP127" t="str">
        <f t="shared" si="28"/>
        <v>OK</v>
      </c>
      <c r="AQ127" t="str">
        <f t="shared" si="29"/>
        <v>OK</v>
      </c>
    </row>
    <row r="128" spans="1:43" x14ac:dyDescent="0.3">
      <c r="A128" t="s">
        <v>598</v>
      </c>
      <c r="B128" s="1">
        <v>45596</v>
      </c>
      <c r="C128" t="s">
        <v>599</v>
      </c>
      <c r="D128" t="s">
        <v>25</v>
      </c>
      <c r="E128" t="s">
        <v>600</v>
      </c>
      <c r="F128" t="s">
        <v>41</v>
      </c>
      <c r="G128" t="s">
        <v>601</v>
      </c>
      <c r="H128">
        <v>7499</v>
      </c>
      <c r="I128">
        <v>1</v>
      </c>
      <c r="J128">
        <v>7499</v>
      </c>
      <c r="K128" t="s">
        <v>538</v>
      </c>
      <c r="L128">
        <v>40</v>
      </c>
      <c r="M128" t="s">
        <v>44</v>
      </c>
      <c r="N128" t="s">
        <v>31</v>
      </c>
      <c r="O128" t="s">
        <v>113</v>
      </c>
      <c r="P128" t="s">
        <v>114</v>
      </c>
      <c r="Q128" t="s">
        <v>46</v>
      </c>
      <c r="R128" s="1">
        <v>45607</v>
      </c>
      <c r="S128" t="s">
        <v>34</v>
      </c>
      <c r="T128" t="s">
        <v>47</v>
      </c>
      <c r="U128" t="s">
        <v>48</v>
      </c>
      <c r="V128" s="1">
        <v>45630</v>
      </c>
      <c r="W128" t="s">
        <v>49</v>
      </c>
      <c r="AB128" s="2">
        <f t="shared" si="15"/>
        <v>1</v>
      </c>
      <c r="AC128">
        <f t="shared" si="16"/>
        <v>0</v>
      </c>
      <c r="AD128">
        <f t="shared" si="17"/>
        <v>2</v>
      </c>
      <c r="AE128" t="str">
        <f t="shared" si="18"/>
        <v>OK</v>
      </c>
      <c r="AF128" t="str">
        <f t="shared" si="19"/>
        <v>OK</v>
      </c>
      <c r="AG128" t="str">
        <f t="shared" si="20"/>
        <v>OK</v>
      </c>
      <c r="AI128" t="str">
        <f t="shared" si="21"/>
        <v>ERROR</v>
      </c>
      <c r="AJ128" t="str">
        <f t="shared" si="22"/>
        <v>OK</v>
      </c>
      <c r="AK128" t="str">
        <f t="shared" si="23"/>
        <v>OK</v>
      </c>
      <c r="AL128" t="str">
        <f t="shared" si="24"/>
        <v>OK</v>
      </c>
      <c r="AM128" t="str">
        <f t="shared" si="25"/>
        <v>OK</v>
      </c>
      <c r="AN128" t="str">
        <f t="shared" si="26"/>
        <v>OK</v>
      </c>
      <c r="AO128" t="str">
        <f t="shared" si="27"/>
        <v>OK</v>
      </c>
      <c r="AP128" t="str">
        <f t="shared" si="28"/>
        <v>OK</v>
      </c>
      <c r="AQ128" t="str">
        <f t="shared" si="29"/>
        <v>OK</v>
      </c>
    </row>
    <row r="129" spans="1:43" x14ac:dyDescent="0.3">
      <c r="A129" t="s">
        <v>602</v>
      </c>
      <c r="B129" s="1">
        <v>45596</v>
      </c>
      <c r="C129" t="s">
        <v>603</v>
      </c>
      <c r="D129" t="s">
        <v>25</v>
      </c>
      <c r="E129" t="s">
        <v>604</v>
      </c>
      <c r="F129" t="s">
        <v>54</v>
      </c>
      <c r="G129" t="s">
        <v>605</v>
      </c>
      <c r="H129">
        <v>3299</v>
      </c>
      <c r="I129">
        <v>1</v>
      </c>
      <c r="J129">
        <v>3299</v>
      </c>
      <c r="K129" t="s">
        <v>538</v>
      </c>
      <c r="L129">
        <v>40</v>
      </c>
      <c r="M129" t="s">
        <v>30</v>
      </c>
      <c r="N129" t="s">
        <v>45</v>
      </c>
      <c r="O129" t="s">
        <v>119</v>
      </c>
      <c r="P129" t="s">
        <v>120</v>
      </c>
      <c r="Q129" t="s">
        <v>46</v>
      </c>
      <c r="R129" s="1">
        <v>45608</v>
      </c>
      <c r="S129" t="s">
        <v>34</v>
      </c>
      <c r="T129" t="s">
        <v>47</v>
      </c>
      <c r="U129" t="s">
        <v>80</v>
      </c>
      <c r="V129" s="1">
        <v>45632</v>
      </c>
      <c r="W129" t="s">
        <v>49</v>
      </c>
      <c r="AB129" s="2">
        <f t="shared" si="15"/>
        <v>1</v>
      </c>
      <c r="AC129">
        <f t="shared" si="16"/>
        <v>0</v>
      </c>
      <c r="AD129">
        <f t="shared" si="17"/>
        <v>2</v>
      </c>
      <c r="AE129" t="str">
        <f t="shared" si="18"/>
        <v>OK</v>
      </c>
      <c r="AF129" t="str">
        <f t="shared" si="19"/>
        <v>OK</v>
      </c>
      <c r="AG129" t="str">
        <f t="shared" si="20"/>
        <v>OK</v>
      </c>
      <c r="AI129" t="str">
        <f t="shared" si="21"/>
        <v>ERROR</v>
      </c>
      <c r="AJ129" t="str">
        <f t="shared" si="22"/>
        <v>OK</v>
      </c>
      <c r="AK129" t="str">
        <f t="shared" si="23"/>
        <v>OK</v>
      </c>
      <c r="AL129" t="str">
        <f t="shared" si="24"/>
        <v>OK</v>
      </c>
      <c r="AM129" t="str">
        <f t="shared" si="25"/>
        <v>OK</v>
      </c>
      <c r="AN129" t="str">
        <f t="shared" si="26"/>
        <v>OK</v>
      </c>
      <c r="AO129" t="str">
        <f t="shared" si="27"/>
        <v>OK</v>
      </c>
      <c r="AP129" t="str">
        <f t="shared" si="28"/>
        <v>OK</v>
      </c>
      <c r="AQ129" t="str">
        <f t="shared" si="29"/>
        <v>OK</v>
      </c>
    </row>
    <row r="130" spans="1:43" x14ac:dyDescent="0.3">
      <c r="A130" t="s">
        <v>606</v>
      </c>
      <c r="B130" s="1">
        <v>45596</v>
      </c>
      <c r="C130" t="s">
        <v>607</v>
      </c>
      <c r="D130" t="s">
        <v>39</v>
      </c>
      <c r="E130" t="s">
        <v>406</v>
      </c>
      <c r="F130" t="s">
        <v>62</v>
      </c>
      <c r="G130" t="s">
        <v>608</v>
      </c>
      <c r="H130">
        <v>5499</v>
      </c>
      <c r="I130">
        <v>1</v>
      </c>
      <c r="J130">
        <v>5499</v>
      </c>
      <c r="K130" t="s">
        <v>538</v>
      </c>
      <c r="L130">
        <v>40</v>
      </c>
      <c r="M130" t="s">
        <v>65</v>
      </c>
      <c r="N130" t="s">
        <v>66</v>
      </c>
      <c r="O130" t="s">
        <v>138</v>
      </c>
      <c r="P130" t="s">
        <v>114</v>
      </c>
      <c r="Q130" t="s">
        <v>46</v>
      </c>
      <c r="R130" s="1">
        <v>45609</v>
      </c>
      <c r="S130" t="s">
        <v>34</v>
      </c>
      <c r="T130" t="s">
        <v>47</v>
      </c>
      <c r="U130" t="s">
        <v>69</v>
      </c>
      <c r="V130" s="1">
        <v>45634</v>
      </c>
      <c r="W130" t="s">
        <v>49</v>
      </c>
      <c r="AB130" s="2">
        <f t="shared" si="15"/>
        <v>1</v>
      </c>
      <c r="AC130">
        <f t="shared" si="16"/>
        <v>0</v>
      </c>
      <c r="AD130">
        <f t="shared" si="17"/>
        <v>2</v>
      </c>
      <c r="AE130" t="str">
        <f t="shared" si="18"/>
        <v>OK</v>
      </c>
      <c r="AF130" t="str">
        <f t="shared" si="19"/>
        <v>OK</v>
      </c>
      <c r="AG130" t="str">
        <f t="shared" si="20"/>
        <v>OK</v>
      </c>
      <c r="AI130" t="str">
        <f t="shared" si="21"/>
        <v>ERROR</v>
      </c>
      <c r="AJ130" t="str">
        <f t="shared" si="22"/>
        <v>OK</v>
      </c>
      <c r="AK130" t="str">
        <f t="shared" si="23"/>
        <v>OK</v>
      </c>
      <c r="AL130" t="str">
        <f t="shared" si="24"/>
        <v>OK</v>
      </c>
      <c r="AM130" t="str">
        <f t="shared" si="25"/>
        <v>OK</v>
      </c>
      <c r="AN130" t="str">
        <f t="shared" si="26"/>
        <v>OK</v>
      </c>
      <c r="AO130" t="str">
        <f t="shared" si="27"/>
        <v>OK</v>
      </c>
      <c r="AP130" t="str">
        <f t="shared" si="28"/>
        <v>OK</v>
      </c>
      <c r="AQ130" t="str">
        <f t="shared" si="29"/>
        <v>OK</v>
      </c>
    </row>
    <row r="131" spans="1:43" x14ac:dyDescent="0.3">
      <c r="A131" t="s">
        <v>609</v>
      </c>
      <c r="B131" s="1">
        <v>45596</v>
      </c>
      <c r="C131" t="s">
        <v>610</v>
      </c>
      <c r="D131" t="s">
        <v>25</v>
      </c>
      <c r="E131" t="s">
        <v>611</v>
      </c>
      <c r="F131" t="s">
        <v>72</v>
      </c>
      <c r="G131" t="s">
        <v>612</v>
      </c>
      <c r="H131">
        <v>1199</v>
      </c>
      <c r="I131">
        <v>1</v>
      </c>
      <c r="J131">
        <v>1199</v>
      </c>
      <c r="K131" t="s">
        <v>538</v>
      </c>
      <c r="L131">
        <v>40</v>
      </c>
      <c r="M131" t="s">
        <v>56</v>
      </c>
      <c r="N131" t="s">
        <v>31</v>
      </c>
      <c r="O131" t="s">
        <v>144</v>
      </c>
      <c r="P131" t="s">
        <v>145</v>
      </c>
      <c r="Q131" t="s">
        <v>46</v>
      </c>
      <c r="R131" s="1"/>
      <c r="S131" t="s">
        <v>121</v>
      </c>
      <c r="T131" t="s">
        <v>35</v>
      </c>
      <c r="U131" t="s">
        <v>29</v>
      </c>
      <c r="V131" s="1"/>
      <c r="W131" t="s">
        <v>36</v>
      </c>
      <c r="AB131" s="2">
        <f t="shared" ref="AB131:AB194" si="30">COUNTIF(A$2:A$347,A131)</f>
        <v>1</v>
      </c>
      <c r="AC131">
        <f t="shared" ref="AC131:AC194" si="31">LEN(S131)-LEN(TRIM(S131))</f>
        <v>0</v>
      </c>
      <c r="AD131">
        <f t="shared" ref="AD131:AD194" si="32">LEN(E131)-LEN(SUBSTITUTE(E131,"-",""))</f>
        <v>2</v>
      </c>
      <c r="AE131" t="str">
        <f t="shared" ref="AE131:AE194" si="33">IF(I131&gt;10,"FLAG","OK")</f>
        <v>OK</v>
      </c>
      <c r="AF131" t="str">
        <f t="shared" ref="AF131:AF194" si="34">IF(OR(H131&lt;=0,H131&gt;10000),"FLAG","OK")</f>
        <v>OK</v>
      </c>
      <c r="AG131" t="str">
        <f t="shared" ref="AG131:AG194" si="35">IF(OR(L131&lt;0,L131&gt;100),"FLAG","OK")</f>
        <v>OK</v>
      </c>
      <c r="AI131" t="str">
        <f t="shared" ref="AI131:AI194" si="36">IF(AG131=J131,"OK","ERROR")</f>
        <v>ERROR</v>
      </c>
      <c r="AJ131" t="str">
        <f t="shared" ref="AJ131:AJ194" si="37">IF(R131&lt;B131,"ERROR","OK")</f>
        <v>ERROR</v>
      </c>
      <c r="AK131" t="str">
        <f t="shared" ref="AK131:AK194" si="38">IF(AND(S131="Cancelled",R131&lt;&gt;""),"ERROR","OK")</f>
        <v>OK</v>
      </c>
      <c r="AL131" t="str">
        <f t="shared" ref="AL131:AL194" si="39">IF(AND(T131="Yes",U131=""),"ERROR","OK")</f>
        <v>OK</v>
      </c>
      <c r="AM131" t="str">
        <f t="shared" ref="AM131:AM194" si="40">IF(V131&lt;R131,"ERROR","OK")</f>
        <v>OK</v>
      </c>
      <c r="AN131" t="str">
        <f t="shared" ref="AN131:AN194" si="41">IF(AND(I131&gt;0,MOD(I131,1)=0),"OK","ERROR")</f>
        <v>OK</v>
      </c>
      <c r="AO131" t="str">
        <f t="shared" ref="AO131:AO194" si="42">IF(OR(B131="",B131&lt;DATE(2024,10,1),B131&gt;DATE(2024,12,31)),"ERROR","OK")</f>
        <v>OK</v>
      </c>
      <c r="AP131" t="str">
        <f t="shared" ref="AP131:AP194" si="43">IF(OR(B131&lt;DATE(2024,10,1),B131&gt;DATE(2024,12,31)),"ERROR","OK")</f>
        <v>OK</v>
      </c>
      <c r="AQ131" t="str">
        <f t="shared" ref="AQ131:AQ194" si="44">IF(OR(S131="Delivered",S131="Cancelled",S131="RTO",S131="In Transit"),"OK","ERROR")</f>
        <v>OK</v>
      </c>
    </row>
    <row r="132" spans="1:43" x14ac:dyDescent="0.3">
      <c r="A132" t="s">
        <v>613</v>
      </c>
      <c r="B132" s="1">
        <v>45596</v>
      </c>
      <c r="C132" t="s">
        <v>614</v>
      </c>
      <c r="D132" t="s">
        <v>25</v>
      </c>
      <c r="E132" t="s">
        <v>615</v>
      </c>
      <c r="F132" t="s">
        <v>27</v>
      </c>
      <c r="G132" t="s">
        <v>616</v>
      </c>
      <c r="H132">
        <v>2799</v>
      </c>
      <c r="I132">
        <v>1</v>
      </c>
      <c r="J132">
        <v>2799</v>
      </c>
      <c r="K132" t="s">
        <v>538</v>
      </c>
      <c r="L132">
        <v>40</v>
      </c>
      <c r="M132" t="s">
        <v>112</v>
      </c>
      <c r="N132" t="s">
        <v>45</v>
      </c>
      <c r="O132" t="s">
        <v>151</v>
      </c>
      <c r="P132" t="s">
        <v>152</v>
      </c>
      <c r="Q132" t="s">
        <v>32</v>
      </c>
      <c r="R132" s="1">
        <v>45608</v>
      </c>
      <c r="S132" t="s">
        <v>34</v>
      </c>
      <c r="T132" t="s">
        <v>47</v>
      </c>
      <c r="U132" t="s">
        <v>48</v>
      </c>
      <c r="V132" s="1">
        <v>45633</v>
      </c>
      <c r="W132" t="s">
        <v>49</v>
      </c>
      <c r="AB132" s="2">
        <f t="shared" si="30"/>
        <v>1</v>
      </c>
      <c r="AC132">
        <f t="shared" si="31"/>
        <v>0</v>
      </c>
      <c r="AD132">
        <f t="shared" si="32"/>
        <v>2</v>
      </c>
      <c r="AE132" t="str">
        <f t="shared" si="33"/>
        <v>OK</v>
      </c>
      <c r="AF132" t="str">
        <f t="shared" si="34"/>
        <v>OK</v>
      </c>
      <c r="AG132" t="str">
        <f t="shared" si="35"/>
        <v>OK</v>
      </c>
      <c r="AI132" t="str">
        <f t="shared" si="36"/>
        <v>ERROR</v>
      </c>
      <c r="AJ132" t="str">
        <f t="shared" si="37"/>
        <v>OK</v>
      </c>
      <c r="AK132" t="str">
        <f t="shared" si="38"/>
        <v>OK</v>
      </c>
      <c r="AL132" t="str">
        <f t="shared" si="39"/>
        <v>OK</v>
      </c>
      <c r="AM132" t="str">
        <f t="shared" si="40"/>
        <v>OK</v>
      </c>
      <c r="AN132" t="str">
        <f t="shared" si="41"/>
        <v>OK</v>
      </c>
      <c r="AO132" t="str">
        <f t="shared" si="42"/>
        <v>OK</v>
      </c>
      <c r="AP132" t="str">
        <f t="shared" si="43"/>
        <v>OK</v>
      </c>
      <c r="AQ132" t="str">
        <f t="shared" si="44"/>
        <v>OK</v>
      </c>
    </row>
    <row r="133" spans="1:43" x14ac:dyDescent="0.3">
      <c r="A133" t="s">
        <v>617</v>
      </c>
      <c r="B133" s="1">
        <v>45597</v>
      </c>
      <c r="C133" t="s">
        <v>618</v>
      </c>
      <c r="D133" t="s">
        <v>25</v>
      </c>
      <c r="E133" t="s">
        <v>619</v>
      </c>
      <c r="F133" t="s">
        <v>41</v>
      </c>
      <c r="G133" t="s">
        <v>620</v>
      </c>
      <c r="H133">
        <v>3899</v>
      </c>
      <c r="I133">
        <v>1</v>
      </c>
      <c r="J133">
        <v>3899</v>
      </c>
      <c r="K133" t="s">
        <v>538</v>
      </c>
      <c r="L133">
        <v>40</v>
      </c>
      <c r="M133" t="s">
        <v>44</v>
      </c>
      <c r="N133" t="s">
        <v>66</v>
      </c>
      <c r="O133" t="s">
        <v>157</v>
      </c>
      <c r="P133" t="s">
        <v>98</v>
      </c>
      <c r="Q133" t="s">
        <v>32</v>
      </c>
      <c r="R133" s="1">
        <v>45606</v>
      </c>
      <c r="S133" t="s">
        <v>34</v>
      </c>
      <c r="T133" t="s">
        <v>47</v>
      </c>
      <c r="U133" t="s">
        <v>105</v>
      </c>
      <c r="V133" s="1">
        <v>45631</v>
      </c>
      <c r="W133" t="s">
        <v>49</v>
      </c>
      <c r="AB133" s="2">
        <f t="shared" si="30"/>
        <v>1</v>
      </c>
      <c r="AC133">
        <f t="shared" si="31"/>
        <v>0</v>
      </c>
      <c r="AD133">
        <f t="shared" si="32"/>
        <v>2</v>
      </c>
      <c r="AE133" t="str">
        <f t="shared" si="33"/>
        <v>OK</v>
      </c>
      <c r="AF133" t="str">
        <f t="shared" si="34"/>
        <v>OK</v>
      </c>
      <c r="AG133" t="str">
        <f t="shared" si="35"/>
        <v>OK</v>
      </c>
      <c r="AI133" t="str">
        <f t="shared" si="36"/>
        <v>ERROR</v>
      </c>
      <c r="AJ133" t="str">
        <f t="shared" si="37"/>
        <v>OK</v>
      </c>
      <c r="AK133" t="str">
        <f t="shared" si="38"/>
        <v>OK</v>
      </c>
      <c r="AL133" t="str">
        <f t="shared" si="39"/>
        <v>OK</v>
      </c>
      <c r="AM133" t="str">
        <f t="shared" si="40"/>
        <v>OK</v>
      </c>
      <c r="AN133" t="str">
        <f t="shared" si="41"/>
        <v>OK</v>
      </c>
      <c r="AO133" t="str">
        <f t="shared" si="42"/>
        <v>OK</v>
      </c>
      <c r="AP133" t="str">
        <f t="shared" si="43"/>
        <v>OK</v>
      </c>
      <c r="AQ133" t="str">
        <f t="shared" si="44"/>
        <v>OK</v>
      </c>
    </row>
    <row r="134" spans="1:43" x14ac:dyDescent="0.3">
      <c r="A134" t="s">
        <v>621</v>
      </c>
      <c r="B134" s="1">
        <v>45597</v>
      </c>
      <c r="C134" t="s">
        <v>622</v>
      </c>
      <c r="D134" t="s">
        <v>25</v>
      </c>
      <c r="E134" t="s">
        <v>623</v>
      </c>
      <c r="F134" t="s">
        <v>54</v>
      </c>
      <c r="G134" t="s">
        <v>624</v>
      </c>
      <c r="H134">
        <v>2999</v>
      </c>
      <c r="I134">
        <v>1</v>
      </c>
      <c r="J134">
        <v>2999</v>
      </c>
      <c r="K134" t="s">
        <v>538</v>
      </c>
      <c r="L134">
        <v>40</v>
      </c>
      <c r="M134" t="s">
        <v>30</v>
      </c>
      <c r="N134" t="s">
        <v>31</v>
      </c>
      <c r="O134" t="s">
        <v>162</v>
      </c>
      <c r="P134" t="s">
        <v>163</v>
      </c>
      <c r="Q134" t="s">
        <v>46</v>
      </c>
      <c r="R134" s="1">
        <v>45607</v>
      </c>
      <c r="S134" t="s">
        <v>34</v>
      </c>
      <c r="T134" t="s">
        <v>35</v>
      </c>
      <c r="U134" t="s">
        <v>29</v>
      </c>
      <c r="V134" s="1"/>
      <c r="W134" t="s">
        <v>36</v>
      </c>
      <c r="AB134" s="2">
        <f t="shared" si="30"/>
        <v>1</v>
      </c>
      <c r="AC134">
        <f t="shared" si="31"/>
        <v>0</v>
      </c>
      <c r="AD134">
        <f t="shared" si="32"/>
        <v>2</v>
      </c>
      <c r="AE134" t="str">
        <f t="shared" si="33"/>
        <v>OK</v>
      </c>
      <c r="AF134" t="str">
        <f t="shared" si="34"/>
        <v>OK</v>
      </c>
      <c r="AG134" t="str">
        <f t="shared" si="35"/>
        <v>OK</v>
      </c>
      <c r="AI134" t="str">
        <f t="shared" si="36"/>
        <v>ERROR</v>
      </c>
      <c r="AJ134" t="str">
        <f t="shared" si="37"/>
        <v>OK</v>
      </c>
      <c r="AK134" t="str">
        <f t="shared" si="38"/>
        <v>OK</v>
      </c>
      <c r="AL134" t="str">
        <f t="shared" si="39"/>
        <v>OK</v>
      </c>
      <c r="AM134" t="str">
        <f t="shared" si="40"/>
        <v>ERROR</v>
      </c>
      <c r="AN134" t="str">
        <f t="shared" si="41"/>
        <v>OK</v>
      </c>
      <c r="AO134" t="str">
        <f t="shared" si="42"/>
        <v>OK</v>
      </c>
      <c r="AP134" t="str">
        <f t="shared" si="43"/>
        <v>OK</v>
      </c>
      <c r="AQ134" t="str">
        <f t="shared" si="44"/>
        <v>OK</v>
      </c>
    </row>
    <row r="135" spans="1:43" x14ac:dyDescent="0.3">
      <c r="A135" t="s">
        <v>625</v>
      </c>
      <c r="B135" s="1">
        <v>45597</v>
      </c>
      <c r="C135" t="s">
        <v>626</v>
      </c>
      <c r="D135" t="s">
        <v>39</v>
      </c>
      <c r="E135" t="s">
        <v>627</v>
      </c>
      <c r="F135" t="s">
        <v>62</v>
      </c>
      <c r="G135" t="s">
        <v>628</v>
      </c>
      <c r="H135">
        <v>6499</v>
      </c>
      <c r="I135">
        <v>1</v>
      </c>
      <c r="J135">
        <v>6499</v>
      </c>
      <c r="K135" t="s">
        <v>538</v>
      </c>
      <c r="L135">
        <v>40</v>
      </c>
      <c r="M135" t="s">
        <v>44</v>
      </c>
      <c r="N135" t="s">
        <v>45</v>
      </c>
      <c r="O135" t="s">
        <v>168</v>
      </c>
      <c r="P135" t="s">
        <v>152</v>
      </c>
      <c r="Q135" t="s">
        <v>32</v>
      </c>
      <c r="R135" s="1">
        <v>45609</v>
      </c>
      <c r="S135" t="s">
        <v>34</v>
      </c>
      <c r="T135" t="s">
        <v>47</v>
      </c>
      <c r="U135" t="s">
        <v>48</v>
      </c>
      <c r="V135" s="1">
        <v>45636</v>
      </c>
      <c r="W135" t="s">
        <v>49</v>
      </c>
      <c r="AB135" s="2">
        <f t="shared" si="30"/>
        <v>1</v>
      </c>
      <c r="AC135">
        <f t="shared" si="31"/>
        <v>0</v>
      </c>
      <c r="AD135">
        <f t="shared" si="32"/>
        <v>2</v>
      </c>
      <c r="AE135" t="str">
        <f t="shared" si="33"/>
        <v>OK</v>
      </c>
      <c r="AF135" t="str">
        <f t="shared" si="34"/>
        <v>OK</v>
      </c>
      <c r="AG135" t="str">
        <f t="shared" si="35"/>
        <v>OK</v>
      </c>
      <c r="AI135" t="str">
        <f t="shared" si="36"/>
        <v>ERROR</v>
      </c>
      <c r="AJ135" t="str">
        <f t="shared" si="37"/>
        <v>OK</v>
      </c>
      <c r="AK135" t="str">
        <f t="shared" si="38"/>
        <v>OK</v>
      </c>
      <c r="AL135" t="str">
        <f t="shared" si="39"/>
        <v>OK</v>
      </c>
      <c r="AM135" t="str">
        <f t="shared" si="40"/>
        <v>OK</v>
      </c>
      <c r="AN135" t="str">
        <f t="shared" si="41"/>
        <v>OK</v>
      </c>
      <c r="AO135" t="str">
        <f t="shared" si="42"/>
        <v>OK</v>
      </c>
      <c r="AP135" t="str">
        <f t="shared" si="43"/>
        <v>OK</v>
      </c>
      <c r="AQ135" t="str">
        <f t="shared" si="44"/>
        <v>OK</v>
      </c>
    </row>
    <row r="136" spans="1:43" x14ac:dyDescent="0.3">
      <c r="A136" t="s">
        <v>629</v>
      </c>
      <c r="B136" s="1">
        <v>45597</v>
      </c>
      <c r="C136" t="s">
        <v>630</v>
      </c>
      <c r="D136" t="s">
        <v>25</v>
      </c>
      <c r="E136" t="s">
        <v>631</v>
      </c>
      <c r="F136" t="s">
        <v>72</v>
      </c>
      <c r="G136" t="s">
        <v>632</v>
      </c>
      <c r="H136">
        <v>999</v>
      </c>
      <c r="I136">
        <v>2</v>
      </c>
      <c r="J136">
        <v>1998</v>
      </c>
      <c r="K136" t="s">
        <v>538</v>
      </c>
      <c r="L136">
        <v>40</v>
      </c>
      <c r="M136" t="s">
        <v>65</v>
      </c>
      <c r="N136" t="s">
        <v>66</v>
      </c>
      <c r="O136" t="s">
        <v>173</v>
      </c>
      <c r="P136" t="s">
        <v>33</v>
      </c>
      <c r="Q136" t="s">
        <v>32</v>
      </c>
      <c r="R136" s="1">
        <v>45607</v>
      </c>
      <c r="S136" t="s">
        <v>34</v>
      </c>
      <c r="T136" t="s">
        <v>35</v>
      </c>
      <c r="U136" t="s">
        <v>29</v>
      </c>
      <c r="V136" s="1"/>
      <c r="W136" t="s">
        <v>36</v>
      </c>
      <c r="AB136" s="2">
        <f t="shared" si="30"/>
        <v>1</v>
      </c>
      <c r="AC136">
        <f t="shared" si="31"/>
        <v>0</v>
      </c>
      <c r="AD136">
        <f t="shared" si="32"/>
        <v>2</v>
      </c>
      <c r="AE136" t="str">
        <f t="shared" si="33"/>
        <v>OK</v>
      </c>
      <c r="AF136" t="str">
        <f t="shared" si="34"/>
        <v>OK</v>
      </c>
      <c r="AG136" t="str">
        <f t="shared" si="35"/>
        <v>OK</v>
      </c>
      <c r="AI136" t="str">
        <f t="shared" si="36"/>
        <v>ERROR</v>
      </c>
      <c r="AJ136" t="str">
        <f t="shared" si="37"/>
        <v>OK</v>
      </c>
      <c r="AK136" t="str">
        <f t="shared" si="38"/>
        <v>OK</v>
      </c>
      <c r="AL136" t="str">
        <f t="shared" si="39"/>
        <v>OK</v>
      </c>
      <c r="AM136" t="str">
        <f t="shared" si="40"/>
        <v>ERROR</v>
      </c>
      <c r="AN136" t="str">
        <f t="shared" si="41"/>
        <v>OK</v>
      </c>
      <c r="AO136" t="str">
        <f t="shared" si="42"/>
        <v>OK</v>
      </c>
      <c r="AP136" t="str">
        <f t="shared" si="43"/>
        <v>OK</v>
      </c>
      <c r="AQ136" t="str">
        <f t="shared" si="44"/>
        <v>OK</v>
      </c>
    </row>
    <row r="137" spans="1:43" x14ac:dyDescent="0.3">
      <c r="A137" t="s">
        <v>633</v>
      </c>
      <c r="B137" s="1">
        <v>45598</v>
      </c>
      <c r="C137" t="s">
        <v>634</v>
      </c>
      <c r="D137" t="s">
        <v>25</v>
      </c>
      <c r="E137" t="s">
        <v>635</v>
      </c>
      <c r="F137" t="s">
        <v>27</v>
      </c>
      <c r="G137" t="s">
        <v>636</v>
      </c>
      <c r="H137">
        <v>2499</v>
      </c>
      <c r="I137">
        <v>1</v>
      </c>
      <c r="J137">
        <v>2499</v>
      </c>
      <c r="K137" t="s">
        <v>538</v>
      </c>
      <c r="L137">
        <v>40</v>
      </c>
      <c r="M137" t="s">
        <v>56</v>
      </c>
      <c r="N137" t="s">
        <v>31</v>
      </c>
      <c r="O137" t="s">
        <v>178</v>
      </c>
      <c r="P137" t="s">
        <v>68</v>
      </c>
      <c r="Q137" t="s">
        <v>57</v>
      </c>
      <c r="R137" s="1">
        <v>45608</v>
      </c>
      <c r="S137" t="s">
        <v>34</v>
      </c>
      <c r="T137" t="s">
        <v>47</v>
      </c>
      <c r="U137" t="s">
        <v>69</v>
      </c>
      <c r="V137" s="1">
        <v>45634</v>
      </c>
      <c r="W137" t="s">
        <v>49</v>
      </c>
      <c r="AB137" s="2">
        <f t="shared" si="30"/>
        <v>1</v>
      </c>
      <c r="AC137">
        <f t="shared" si="31"/>
        <v>0</v>
      </c>
      <c r="AD137">
        <f t="shared" si="32"/>
        <v>2</v>
      </c>
      <c r="AE137" t="str">
        <f t="shared" si="33"/>
        <v>OK</v>
      </c>
      <c r="AF137" t="str">
        <f t="shared" si="34"/>
        <v>OK</v>
      </c>
      <c r="AG137" t="str">
        <f t="shared" si="35"/>
        <v>OK</v>
      </c>
      <c r="AI137" t="str">
        <f t="shared" si="36"/>
        <v>ERROR</v>
      </c>
      <c r="AJ137" t="str">
        <f t="shared" si="37"/>
        <v>OK</v>
      </c>
      <c r="AK137" t="str">
        <f t="shared" si="38"/>
        <v>OK</v>
      </c>
      <c r="AL137" t="str">
        <f t="shared" si="39"/>
        <v>OK</v>
      </c>
      <c r="AM137" t="str">
        <f t="shared" si="40"/>
        <v>OK</v>
      </c>
      <c r="AN137" t="str">
        <f t="shared" si="41"/>
        <v>OK</v>
      </c>
      <c r="AO137" t="str">
        <f t="shared" si="42"/>
        <v>OK</v>
      </c>
      <c r="AP137" t="str">
        <f t="shared" si="43"/>
        <v>OK</v>
      </c>
      <c r="AQ137" t="str">
        <f t="shared" si="44"/>
        <v>OK</v>
      </c>
    </row>
    <row r="138" spans="1:43" x14ac:dyDescent="0.3">
      <c r="A138" t="s">
        <v>637</v>
      </c>
      <c r="B138" s="1">
        <v>45598</v>
      </c>
      <c r="C138" t="s">
        <v>638</v>
      </c>
      <c r="D138" t="s">
        <v>25</v>
      </c>
      <c r="E138" t="s">
        <v>639</v>
      </c>
      <c r="F138" t="s">
        <v>41</v>
      </c>
      <c r="G138" t="s">
        <v>640</v>
      </c>
      <c r="H138">
        <v>4599</v>
      </c>
      <c r="I138">
        <v>1</v>
      </c>
      <c r="J138">
        <v>4599</v>
      </c>
      <c r="K138" t="s">
        <v>538</v>
      </c>
      <c r="L138">
        <v>40</v>
      </c>
      <c r="M138" t="s">
        <v>30</v>
      </c>
      <c r="N138" t="s">
        <v>45</v>
      </c>
      <c r="O138" t="s">
        <v>183</v>
      </c>
      <c r="P138" t="s">
        <v>184</v>
      </c>
      <c r="Q138" t="s">
        <v>57</v>
      </c>
      <c r="R138" s="1">
        <v>45610</v>
      </c>
      <c r="S138" t="s">
        <v>34</v>
      </c>
      <c r="T138" t="s">
        <v>47</v>
      </c>
      <c r="U138" t="s">
        <v>48</v>
      </c>
      <c r="V138" s="1">
        <v>45638</v>
      </c>
      <c r="W138" t="s">
        <v>49</v>
      </c>
      <c r="AB138" s="2">
        <f t="shared" si="30"/>
        <v>1</v>
      </c>
      <c r="AC138">
        <f t="shared" si="31"/>
        <v>0</v>
      </c>
      <c r="AD138">
        <f t="shared" si="32"/>
        <v>2</v>
      </c>
      <c r="AE138" t="str">
        <f t="shared" si="33"/>
        <v>OK</v>
      </c>
      <c r="AF138" t="str">
        <f t="shared" si="34"/>
        <v>OK</v>
      </c>
      <c r="AG138" t="str">
        <f t="shared" si="35"/>
        <v>OK</v>
      </c>
      <c r="AI138" t="str">
        <f t="shared" si="36"/>
        <v>ERROR</v>
      </c>
      <c r="AJ138" t="str">
        <f t="shared" si="37"/>
        <v>OK</v>
      </c>
      <c r="AK138" t="str">
        <f t="shared" si="38"/>
        <v>OK</v>
      </c>
      <c r="AL138" t="str">
        <f t="shared" si="39"/>
        <v>OK</v>
      </c>
      <c r="AM138" t="str">
        <f t="shared" si="40"/>
        <v>OK</v>
      </c>
      <c r="AN138" t="str">
        <f t="shared" si="41"/>
        <v>OK</v>
      </c>
      <c r="AO138" t="str">
        <f t="shared" si="42"/>
        <v>OK</v>
      </c>
      <c r="AP138" t="str">
        <f t="shared" si="43"/>
        <v>OK</v>
      </c>
      <c r="AQ138" t="str">
        <f t="shared" si="44"/>
        <v>OK</v>
      </c>
    </row>
    <row r="139" spans="1:43" x14ac:dyDescent="0.3">
      <c r="A139" t="s">
        <v>641</v>
      </c>
      <c r="B139" s="1">
        <v>45598</v>
      </c>
      <c r="C139" t="s">
        <v>642</v>
      </c>
      <c r="D139" t="s">
        <v>25</v>
      </c>
      <c r="E139" t="s">
        <v>643</v>
      </c>
      <c r="F139" t="s">
        <v>54</v>
      </c>
      <c r="G139" t="s">
        <v>644</v>
      </c>
      <c r="H139">
        <v>1799</v>
      </c>
      <c r="I139">
        <v>1</v>
      </c>
      <c r="J139">
        <v>1799</v>
      </c>
      <c r="K139" t="s">
        <v>538</v>
      </c>
      <c r="L139">
        <v>40</v>
      </c>
      <c r="M139" t="s">
        <v>44</v>
      </c>
      <c r="N139" t="s">
        <v>66</v>
      </c>
      <c r="O139" t="s">
        <v>189</v>
      </c>
      <c r="P139" t="s">
        <v>190</v>
      </c>
      <c r="Q139" t="s">
        <v>57</v>
      </c>
      <c r="R139" s="1">
        <v>45609</v>
      </c>
      <c r="S139" t="s">
        <v>34</v>
      </c>
      <c r="T139" t="s">
        <v>35</v>
      </c>
      <c r="U139" t="s">
        <v>29</v>
      </c>
      <c r="V139" s="1"/>
      <c r="W139" t="s">
        <v>36</v>
      </c>
      <c r="AB139" s="2">
        <f t="shared" si="30"/>
        <v>1</v>
      </c>
      <c r="AC139">
        <f t="shared" si="31"/>
        <v>0</v>
      </c>
      <c r="AD139">
        <f t="shared" si="32"/>
        <v>2</v>
      </c>
      <c r="AE139" t="str">
        <f t="shared" si="33"/>
        <v>OK</v>
      </c>
      <c r="AF139" t="str">
        <f t="shared" si="34"/>
        <v>OK</v>
      </c>
      <c r="AG139" t="str">
        <f t="shared" si="35"/>
        <v>OK</v>
      </c>
      <c r="AI139" t="str">
        <f t="shared" si="36"/>
        <v>ERROR</v>
      </c>
      <c r="AJ139" t="str">
        <f t="shared" si="37"/>
        <v>OK</v>
      </c>
      <c r="AK139" t="str">
        <f t="shared" si="38"/>
        <v>OK</v>
      </c>
      <c r="AL139" t="str">
        <f t="shared" si="39"/>
        <v>OK</v>
      </c>
      <c r="AM139" t="str">
        <f t="shared" si="40"/>
        <v>ERROR</v>
      </c>
      <c r="AN139" t="str">
        <f t="shared" si="41"/>
        <v>OK</v>
      </c>
      <c r="AO139" t="str">
        <f t="shared" si="42"/>
        <v>OK</v>
      </c>
      <c r="AP139" t="str">
        <f t="shared" si="43"/>
        <v>OK</v>
      </c>
      <c r="AQ139" t="str">
        <f t="shared" si="44"/>
        <v>OK</v>
      </c>
    </row>
    <row r="140" spans="1:43" x14ac:dyDescent="0.3">
      <c r="A140" t="s">
        <v>645</v>
      </c>
      <c r="B140" s="1">
        <v>45598</v>
      </c>
      <c r="C140" t="s">
        <v>646</v>
      </c>
      <c r="D140" t="s">
        <v>39</v>
      </c>
      <c r="E140" t="s">
        <v>647</v>
      </c>
      <c r="F140" t="s">
        <v>62</v>
      </c>
      <c r="G140" t="s">
        <v>648</v>
      </c>
      <c r="H140">
        <v>7999</v>
      </c>
      <c r="I140">
        <v>1</v>
      </c>
      <c r="J140">
        <v>7999</v>
      </c>
      <c r="K140" t="s">
        <v>538</v>
      </c>
      <c r="L140">
        <v>40</v>
      </c>
      <c r="M140" t="s">
        <v>112</v>
      </c>
      <c r="N140" t="s">
        <v>31</v>
      </c>
      <c r="O140" t="s">
        <v>195</v>
      </c>
      <c r="P140" t="s">
        <v>184</v>
      </c>
      <c r="Q140" t="s">
        <v>57</v>
      </c>
      <c r="R140" s="1">
        <v>45611</v>
      </c>
      <c r="S140" t="s">
        <v>34</v>
      </c>
      <c r="T140" t="s">
        <v>47</v>
      </c>
      <c r="U140" t="s">
        <v>80</v>
      </c>
      <c r="V140" s="1">
        <v>45640</v>
      </c>
      <c r="W140" t="s">
        <v>49</v>
      </c>
      <c r="AB140" s="2">
        <f t="shared" si="30"/>
        <v>1</v>
      </c>
      <c r="AC140">
        <f t="shared" si="31"/>
        <v>0</v>
      </c>
      <c r="AD140">
        <f t="shared" si="32"/>
        <v>2</v>
      </c>
      <c r="AE140" t="str">
        <f t="shared" si="33"/>
        <v>OK</v>
      </c>
      <c r="AF140" t="str">
        <f t="shared" si="34"/>
        <v>OK</v>
      </c>
      <c r="AG140" t="str">
        <f t="shared" si="35"/>
        <v>OK</v>
      </c>
      <c r="AI140" t="str">
        <f t="shared" si="36"/>
        <v>ERROR</v>
      </c>
      <c r="AJ140" t="str">
        <f t="shared" si="37"/>
        <v>OK</v>
      </c>
      <c r="AK140" t="str">
        <f t="shared" si="38"/>
        <v>OK</v>
      </c>
      <c r="AL140" t="str">
        <f t="shared" si="39"/>
        <v>OK</v>
      </c>
      <c r="AM140" t="str">
        <f t="shared" si="40"/>
        <v>OK</v>
      </c>
      <c r="AN140" t="str">
        <f t="shared" si="41"/>
        <v>OK</v>
      </c>
      <c r="AO140" t="str">
        <f t="shared" si="42"/>
        <v>OK</v>
      </c>
      <c r="AP140" t="str">
        <f t="shared" si="43"/>
        <v>OK</v>
      </c>
      <c r="AQ140" t="str">
        <f t="shared" si="44"/>
        <v>OK</v>
      </c>
    </row>
    <row r="141" spans="1:43" x14ac:dyDescent="0.3">
      <c r="A141" t="s">
        <v>649</v>
      </c>
      <c r="B141" s="1">
        <v>45599</v>
      </c>
      <c r="C141" t="s">
        <v>650</v>
      </c>
      <c r="D141" t="s">
        <v>25</v>
      </c>
      <c r="E141" t="s">
        <v>651</v>
      </c>
      <c r="F141" t="s">
        <v>72</v>
      </c>
      <c r="G141" t="s">
        <v>652</v>
      </c>
      <c r="H141">
        <v>2499</v>
      </c>
      <c r="I141">
        <v>1</v>
      </c>
      <c r="J141">
        <v>2499</v>
      </c>
      <c r="K141" t="s">
        <v>538</v>
      </c>
      <c r="L141">
        <v>40</v>
      </c>
      <c r="M141" t="s">
        <v>65</v>
      </c>
      <c r="N141" t="s">
        <v>45</v>
      </c>
      <c r="O141" t="s">
        <v>200</v>
      </c>
      <c r="P141" t="s">
        <v>58</v>
      </c>
      <c r="Q141" t="s">
        <v>57</v>
      </c>
      <c r="R141" s="1">
        <v>45610</v>
      </c>
      <c r="S141" t="s">
        <v>34</v>
      </c>
      <c r="T141" t="s">
        <v>47</v>
      </c>
      <c r="U141" t="s">
        <v>139</v>
      </c>
      <c r="V141" s="1">
        <v>45638</v>
      </c>
      <c r="W141" t="s">
        <v>49</v>
      </c>
      <c r="AB141" s="2">
        <f t="shared" si="30"/>
        <v>1</v>
      </c>
      <c r="AC141">
        <f t="shared" si="31"/>
        <v>0</v>
      </c>
      <c r="AD141">
        <f t="shared" si="32"/>
        <v>2</v>
      </c>
      <c r="AE141" t="str">
        <f t="shared" si="33"/>
        <v>OK</v>
      </c>
      <c r="AF141" t="str">
        <f t="shared" si="34"/>
        <v>OK</v>
      </c>
      <c r="AG141" t="str">
        <f t="shared" si="35"/>
        <v>OK</v>
      </c>
      <c r="AI141" t="str">
        <f t="shared" si="36"/>
        <v>ERROR</v>
      </c>
      <c r="AJ141" t="str">
        <f t="shared" si="37"/>
        <v>OK</v>
      </c>
      <c r="AK141" t="str">
        <f t="shared" si="38"/>
        <v>OK</v>
      </c>
      <c r="AL141" t="str">
        <f t="shared" si="39"/>
        <v>OK</v>
      </c>
      <c r="AM141" t="str">
        <f t="shared" si="40"/>
        <v>OK</v>
      </c>
      <c r="AN141" t="str">
        <f t="shared" si="41"/>
        <v>OK</v>
      </c>
      <c r="AO141" t="str">
        <f t="shared" si="42"/>
        <v>OK</v>
      </c>
      <c r="AP141" t="str">
        <f t="shared" si="43"/>
        <v>OK</v>
      </c>
      <c r="AQ141" t="str">
        <f t="shared" si="44"/>
        <v>OK</v>
      </c>
    </row>
    <row r="142" spans="1:43" x14ac:dyDescent="0.3">
      <c r="A142" t="s">
        <v>653</v>
      </c>
      <c r="B142" s="1">
        <v>45599</v>
      </c>
      <c r="C142" t="s">
        <v>654</v>
      </c>
      <c r="D142" t="s">
        <v>25</v>
      </c>
      <c r="E142" t="s">
        <v>655</v>
      </c>
      <c r="F142" t="s">
        <v>27</v>
      </c>
      <c r="G142" t="s">
        <v>656</v>
      </c>
      <c r="H142">
        <v>2299</v>
      </c>
      <c r="I142">
        <v>1</v>
      </c>
      <c r="J142">
        <v>2299</v>
      </c>
      <c r="K142" t="s">
        <v>538</v>
      </c>
      <c r="L142">
        <v>40</v>
      </c>
      <c r="M142" t="s">
        <v>30</v>
      </c>
      <c r="N142" t="s">
        <v>66</v>
      </c>
      <c r="O142" t="s">
        <v>205</v>
      </c>
      <c r="P142" t="s">
        <v>98</v>
      </c>
      <c r="Q142" t="s">
        <v>32</v>
      </c>
      <c r="R142" s="1">
        <v>45611</v>
      </c>
      <c r="S142" t="s">
        <v>34</v>
      </c>
      <c r="T142" t="s">
        <v>47</v>
      </c>
      <c r="U142" t="s">
        <v>48</v>
      </c>
      <c r="V142" s="1">
        <v>45639</v>
      </c>
      <c r="W142" t="s">
        <v>49</v>
      </c>
      <c r="AB142" s="2">
        <f t="shared" si="30"/>
        <v>1</v>
      </c>
      <c r="AC142">
        <f t="shared" si="31"/>
        <v>0</v>
      </c>
      <c r="AD142">
        <f t="shared" si="32"/>
        <v>2</v>
      </c>
      <c r="AE142" t="str">
        <f t="shared" si="33"/>
        <v>OK</v>
      </c>
      <c r="AF142" t="str">
        <f t="shared" si="34"/>
        <v>OK</v>
      </c>
      <c r="AG142" t="str">
        <f t="shared" si="35"/>
        <v>OK</v>
      </c>
      <c r="AI142" t="str">
        <f t="shared" si="36"/>
        <v>ERROR</v>
      </c>
      <c r="AJ142" t="str">
        <f t="shared" si="37"/>
        <v>OK</v>
      </c>
      <c r="AK142" t="str">
        <f t="shared" si="38"/>
        <v>OK</v>
      </c>
      <c r="AL142" t="str">
        <f t="shared" si="39"/>
        <v>OK</v>
      </c>
      <c r="AM142" t="str">
        <f t="shared" si="40"/>
        <v>OK</v>
      </c>
      <c r="AN142" t="str">
        <f t="shared" si="41"/>
        <v>OK</v>
      </c>
      <c r="AO142" t="str">
        <f t="shared" si="42"/>
        <v>OK</v>
      </c>
      <c r="AP142" t="str">
        <f t="shared" si="43"/>
        <v>OK</v>
      </c>
      <c r="AQ142" t="str">
        <f t="shared" si="44"/>
        <v>OK</v>
      </c>
    </row>
    <row r="143" spans="1:43" x14ac:dyDescent="0.3">
      <c r="A143" t="s">
        <v>657</v>
      </c>
      <c r="B143" s="1">
        <v>45599</v>
      </c>
      <c r="C143" t="s">
        <v>658</v>
      </c>
      <c r="D143" t="s">
        <v>25</v>
      </c>
      <c r="E143" t="s">
        <v>477</v>
      </c>
      <c r="F143" t="s">
        <v>41</v>
      </c>
      <c r="G143" t="s">
        <v>659</v>
      </c>
      <c r="H143">
        <v>5999</v>
      </c>
      <c r="I143">
        <v>1</v>
      </c>
      <c r="J143">
        <v>5999</v>
      </c>
      <c r="K143" t="s">
        <v>538</v>
      </c>
      <c r="L143">
        <v>40</v>
      </c>
      <c r="M143" t="s">
        <v>44</v>
      </c>
      <c r="N143" t="s">
        <v>31</v>
      </c>
      <c r="O143" t="s">
        <v>210</v>
      </c>
      <c r="P143" t="s">
        <v>98</v>
      </c>
      <c r="Q143" t="s">
        <v>32</v>
      </c>
      <c r="R143" s="1">
        <v>45612</v>
      </c>
      <c r="S143" t="s">
        <v>34</v>
      </c>
      <c r="T143" t="s">
        <v>47</v>
      </c>
      <c r="U143" t="s">
        <v>105</v>
      </c>
      <c r="V143" s="1">
        <v>45641</v>
      </c>
      <c r="W143" t="s">
        <v>49</v>
      </c>
      <c r="AB143" s="2">
        <f t="shared" si="30"/>
        <v>1</v>
      </c>
      <c r="AC143">
        <f t="shared" si="31"/>
        <v>0</v>
      </c>
      <c r="AD143">
        <f t="shared" si="32"/>
        <v>2</v>
      </c>
      <c r="AE143" t="str">
        <f t="shared" si="33"/>
        <v>OK</v>
      </c>
      <c r="AF143" t="str">
        <f t="shared" si="34"/>
        <v>OK</v>
      </c>
      <c r="AG143" t="str">
        <f t="shared" si="35"/>
        <v>OK</v>
      </c>
      <c r="AI143" t="str">
        <f t="shared" si="36"/>
        <v>ERROR</v>
      </c>
      <c r="AJ143" t="str">
        <f t="shared" si="37"/>
        <v>OK</v>
      </c>
      <c r="AK143" t="str">
        <f t="shared" si="38"/>
        <v>OK</v>
      </c>
      <c r="AL143" t="str">
        <f t="shared" si="39"/>
        <v>OK</v>
      </c>
      <c r="AM143" t="str">
        <f t="shared" si="40"/>
        <v>OK</v>
      </c>
      <c r="AN143" t="str">
        <f t="shared" si="41"/>
        <v>OK</v>
      </c>
      <c r="AO143" t="str">
        <f t="shared" si="42"/>
        <v>OK</v>
      </c>
      <c r="AP143" t="str">
        <f t="shared" si="43"/>
        <v>OK</v>
      </c>
      <c r="AQ143" t="str">
        <f t="shared" si="44"/>
        <v>OK</v>
      </c>
    </row>
    <row r="144" spans="1:43" x14ac:dyDescent="0.3">
      <c r="A144" t="s">
        <v>660</v>
      </c>
      <c r="B144" s="1">
        <v>45599</v>
      </c>
      <c r="C144" t="s">
        <v>661</v>
      </c>
      <c r="D144" t="s">
        <v>39</v>
      </c>
      <c r="E144" t="s">
        <v>662</v>
      </c>
      <c r="F144" t="s">
        <v>54</v>
      </c>
      <c r="G144" t="s">
        <v>663</v>
      </c>
      <c r="H144">
        <v>2599</v>
      </c>
      <c r="I144">
        <v>1</v>
      </c>
      <c r="J144">
        <v>2599</v>
      </c>
      <c r="K144" t="s">
        <v>538</v>
      </c>
      <c r="L144">
        <v>40</v>
      </c>
      <c r="M144" t="s">
        <v>56</v>
      </c>
      <c r="N144" t="s">
        <v>45</v>
      </c>
      <c r="O144" t="s">
        <v>215</v>
      </c>
      <c r="P144" t="s">
        <v>114</v>
      </c>
      <c r="Q144" t="s">
        <v>46</v>
      </c>
      <c r="R144" s="1">
        <v>45611</v>
      </c>
      <c r="S144" t="s">
        <v>34</v>
      </c>
      <c r="T144" t="s">
        <v>35</v>
      </c>
      <c r="U144" t="s">
        <v>29</v>
      </c>
      <c r="V144" s="1"/>
      <c r="W144" t="s">
        <v>36</v>
      </c>
      <c r="AB144" s="2">
        <f t="shared" si="30"/>
        <v>1</v>
      </c>
      <c r="AC144">
        <f t="shared" si="31"/>
        <v>0</v>
      </c>
      <c r="AD144">
        <f t="shared" si="32"/>
        <v>2</v>
      </c>
      <c r="AE144" t="str">
        <f t="shared" si="33"/>
        <v>OK</v>
      </c>
      <c r="AF144" t="str">
        <f t="shared" si="34"/>
        <v>OK</v>
      </c>
      <c r="AG144" t="str">
        <f t="shared" si="35"/>
        <v>OK</v>
      </c>
      <c r="AI144" t="str">
        <f t="shared" si="36"/>
        <v>ERROR</v>
      </c>
      <c r="AJ144" t="str">
        <f t="shared" si="37"/>
        <v>OK</v>
      </c>
      <c r="AK144" t="str">
        <f t="shared" si="38"/>
        <v>OK</v>
      </c>
      <c r="AL144" t="str">
        <f t="shared" si="39"/>
        <v>OK</v>
      </c>
      <c r="AM144" t="str">
        <f t="shared" si="40"/>
        <v>ERROR</v>
      </c>
      <c r="AN144" t="str">
        <f t="shared" si="41"/>
        <v>OK</v>
      </c>
      <c r="AO144" t="str">
        <f t="shared" si="42"/>
        <v>OK</v>
      </c>
      <c r="AP144" t="str">
        <f t="shared" si="43"/>
        <v>OK</v>
      </c>
      <c r="AQ144" t="str">
        <f t="shared" si="44"/>
        <v>OK</v>
      </c>
    </row>
    <row r="145" spans="1:43" x14ac:dyDescent="0.3">
      <c r="A145" t="s">
        <v>664</v>
      </c>
      <c r="B145" s="1">
        <v>45600</v>
      </c>
      <c r="C145" t="s">
        <v>665</v>
      </c>
      <c r="D145" t="s">
        <v>25</v>
      </c>
      <c r="E145" t="s">
        <v>666</v>
      </c>
      <c r="F145" t="s">
        <v>62</v>
      </c>
      <c r="G145" t="s">
        <v>667</v>
      </c>
      <c r="H145">
        <v>4299</v>
      </c>
      <c r="I145">
        <v>1</v>
      </c>
      <c r="J145">
        <v>4299</v>
      </c>
      <c r="K145" t="s">
        <v>538</v>
      </c>
      <c r="L145">
        <v>40</v>
      </c>
      <c r="M145" t="s">
        <v>44</v>
      </c>
      <c r="N145" t="s">
        <v>66</v>
      </c>
      <c r="O145" t="s">
        <v>32</v>
      </c>
      <c r="P145" t="s">
        <v>33</v>
      </c>
      <c r="Q145" t="s">
        <v>32</v>
      </c>
      <c r="R145" s="1">
        <v>45613</v>
      </c>
      <c r="S145" t="s">
        <v>34</v>
      </c>
      <c r="T145" t="s">
        <v>47</v>
      </c>
      <c r="U145" t="s">
        <v>69</v>
      </c>
      <c r="V145" s="1">
        <v>45642</v>
      </c>
      <c r="W145" t="s">
        <v>49</v>
      </c>
      <c r="AB145" s="2">
        <f t="shared" si="30"/>
        <v>1</v>
      </c>
      <c r="AC145">
        <f t="shared" si="31"/>
        <v>0</v>
      </c>
      <c r="AD145">
        <f t="shared" si="32"/>
        <v>2</v>
      </c>
      <c r="AE145" t="str">
        <f t="shared" si="33"/>
        <v>OK</v>
      </c>
      <c r="AF145" t="str">
        <f t="shared" si="34"/>
        <v>OK</v>
      </c>
      <c r="AG145" t="str">
        <f t="shared" si="35"/>
        <v>OK</v>
      </c>
      <c r="AI145" t="str">
        <f t="shared" si="36"/>
        <v>ERROR</v>
      </c>
      <c r="AJ145" t="str">
        <f t="shared" si="37"/>
        <v>OK</v>
      </c>
      <c r="AK145" t="str">
        <f t="shared" si="38"/>
        <v>OK</v>
      </c>
      <c r="AL145" t="str">
        <f t="shared" si="39"/>
        <v>OK</v>
      </c>
      <c r="AM145" t="str">
        <f t="shared" si="40"/>
        <v>OK</v>
      </c>
      <c r="AN145" t="str">
        <f t="shared" si="41"/>
        <v>OK</v>
      </c>
      <c r="AO145" t="str">
        <f t="shared" si="42"/>
        <v>OK</v>
      </c>
      <c r="AP145" t="str">
        <f t="shared" si="43"/>
        <v>OK</v>
      </c>
      <c r="AQ145" t="str">
        <f t="shared" si="44"/>
        <v>OK</v>
      </c>
    </row>
    <row r="146" spans="1:43" x14ac:dyDescent="0.3">
      <c r="A146" t="s">
        <v>668</v>
      </c>
      <c r="B146" s="1">
        <v>45600</v>
      </c>
      <c r="C146" t="s">
        <v>669</v>
      </c>
      <c r="D146" t="s">
        <v>25</v>
      </c>
      <c r="E146" t="s">
        <v>670</v>
      </c>
      <c r="F146" t="s">
        <v>72</v>
      </c>
      <c r="G146" t="s">
        <v>671</v>
      </c>
      <c r="H146">
        <v>799</v>
      </c>
      <c r="I146">
        <v>1</v>
      </c>
      <c r="J146">
        <v>799</v>
      </c>
      <c r="K146" t="s">
        <v>538</v>
      </c>
      <c r="L146">
        <v>40</v>
      </c>
      <c r="M146" t="s">
        <v>30</v>
      </c>
      <c r="N146" t="s">
        <v>31</v>
      </c>
      <c r="O146" t="s">
        <v>46</v>
      </c>
      <c r="P146" t="s">
        <v>46</v>
      </c>
      <c r="Q146" t="s">
        <v>46</v>
      </c>
      <c r="R146" s="1">
        <v>45612</v>
      </c>
      <c r="S146" t="s">
        <v>34</v>
      </c>
      <c r="T146" t="s">
        <v>35</v>
      </c>
      <c r="U146" t="s">
        <v>29</v>
      </c>
      <c r="V146" s="1"/>
      <c r="W146" t="s">
        <v>36</v>
      </c>
      <c r="AB146" s="2">
        <f t="shared" si="30"/>
        <v>1</v>
      </c>
      <c r="AC146">
        <f t="shared" si="31"/>
        <v>0</v>
      </c>
      <c r="AD146">
        <f t="shared" si="32"/>
        <v>2</v>
      </c>
      <c r="AE146" t="str">
        <f t="shared" si="33"/>
        <v>OK</v>
      </c>
      <c r="AF146" t="str">
        <f t="shared" si="34"/>
        <v>OK</v>
      </c>
      <c r="AG146" t="str">
        <f t="shared" si="35"/>
        <v>OK</v>
      </c>
      <c r="AI146" t="str">
        <f t="shared" si="36"/>
        <v>ERROR</v>
      </c>
      <c r="AJ146" t="str">
        <f t="shared" si="37"/>
        <v>OK</v>
      </c>
      <c r="AK146" t="str">
        <f t="shared" si="38"/>
        <v>OK</v>
      </c>
      <c r="AL146" t="str">
        <f t="shared" si="39"/>
        <v>OK</v>
      </c>
      <c r="AM146" t="str">
        <f t="shared" si="40"/>
        <v>ERROR</v>
      </c>
      <c r="AN146" t="str">
        <f t="shared" si="41"/>
        <v>OK</v>
      </c>
      <c r="AO146" t="str">
        <f t="shared" si="42"/>
        <v>OK</v>
      </c>
      <c r="AP146" t="str">
        <f t="shared" si="43"/>
        <v>OK</v>
      </c>
      <c r="AQ146" t="str">
        <f t="shared" si="44"/>
        <v>OK</v>
      </c>
    </row>
    <row r="147" spans="1:43" x14ac:dyDescent="0.3">
      <c r="A147" t="s">
        <v>672</v>
      </c>
      <c r="B147" s="1">
        <v>45600</v>
      </c>
      <c r="C147" t="s">
        <v>673</v>
      </c>
      <c r="D147" t="s">
        <v>25</v>
      </c>
      <c r="E147" t="s">
        <v>674</v>
      </c>
      <c r="F147" t="s">
        <v>27</v>
      </c>
      <c r="G147" t="s">
        <v>675</v>
      </c>
      <c r="H147">
        <v>1899</v>
      </c>
      <c r="I147">
        <v>1</v>
      </c>
      <c r="J147">
        <v>1899</v>
      </c>
      <c r="K147" t="s">
        <v>538</v>
      </c>
      <c r="L147">
        <v>40</v>
      </c>
      <c r="M147" t="s">
        <v>112</v>
      </c>
      <c r="N147" t="s">
        <v>45</v>
      </c>
      <c r="O147" t="s">
        <v>91</v>
      </c>
      <c r="P147" t="s">
        <v>92</v>
      </c>
      <c r="Q147" t="s">
        <v>46</v>
      </c>
      <c r="R147" s="1">
        <v>45613</v>
      </c>
      <c r="S147" t="s">
        <v>34</v>
      </c>
      <c r="T147" t="s">
        <v>47</v>
      </c>
      <c r="U147" t="s">
        <v>48</v>
      </c>
      <c r="V147" s="1">
        <v>45641</v>
      </c>
      <c r="W147" t="s">
        <v>49</v>
      </c>
      <c r="AB147" s="2">
        <f t="shared" si="30"/>
        <v>1</v>
      </c>
      <c r="AC147">
        <f t="shared" si="31"/>
        <v>0</v>
      </c>
      <c r="AD147">
        <f t="shared" si="32"/>
        <v>2</v>
      </c>
      <c r="AE147" t="str">
        <f t="shared" si="33"/>
        <v>OK</v>
      </c>
      <c r="AF147" t="str">
        <f t="shared" si="34"/>
        <v>OK</v>
      </c>
      <c r="AG147" t="str">
        <f t="shared" si="35"/>
        <v>OK</v>
      </c>
      <c r="AI147" t="str">
        <f t="shared" si="36"/>
        <v>ERROR</v>
      </c>
      <c r="AJ147" t="str">
        <f t="shared" si="37"/>
        <v>OK</v>
      </c>
      <c r="AK147" t="str">
        <f t="shared" si="38"/>
        <v>OK</v>
      </c>
      <c r="AL147" t="str">
        <f t="shared" si="39"/>
        <v>OK</v>
      </c>
      <c r="AM147" t="str">
        <f t="shared" si="40"/>
        <v>OK</v>
      </c>
      <c r="AN147" t="str">
        <f t="shared" si="41"/>
        <v>OK</v>
      </c>
      <c r="AO147" t="str">
        <f t="shared" si="42"/>
        <v>OK</v>
      </c>
      <c r="AP147" t="str">
        <f t="shared" si="43"/>
        <v>OK</v>
      </c>
      <c r="AQ147" t="str">
        <f t="shared" si="44"/>
        <v>OK</v>
      </c>
    </row>
    <row r="148" spans="1:43" x14ac:dyDescent="0.3">
      <c r="A148" t="s">
        <v>676</v>
      </c>
      <c r="B148" s="1">
        <v>45601</v>
      </c>
      <c r="C148" t="s">
        <v>677</v>
      </c>
      <c r="D148" t="s">
        <v>25</v>
      </c>
      <c r="E148" t="s">
        <v>678</v>
      </c>
      <c r="F148" t="s">
        <v>41</v>
      </c>
      <c r="G148" t="s">
        <v>679</v>
      </c>
      <c r="H148">
        <v>4899</v>
      </c>
      <c r="I148">
        <v>1</v>
      </c>
      <c r="J148">
        <v>4899</v>
      </c>
      <c r="K148" t="s">
        <v>538</v>
      </c>
      <c r="L148">
        <v>40</v>
      </c>
      <c r="M148" t="s">
        <v>65</v>
      </c>
      <c r="N148" t="s">
        <v>66</v>
      </c>
      <c r="O148" t="s">
        <v>67</v>
      </c>
      <c r="P148" t="s">
        <v>68</v>
      </c>
      <c r="Q148" t="s">
        <v>57</v>
      </c>
      <c r="R148" s="1">
        <v>45614</v>
      </c>
      <c r="S148" t="s">
        <v>34</v>
      </c>
      <c r="T148" t="s">
        <v>47</v>
      </c>
      <c r="U148" t="s">
        <v>80</v>
      </c>
      <c r="V148" s="1">
        <v>45643</v>
      </c>
      <c r="W148" t="s">
        <v>49</v>
      </c>
      <c r="AB148" s="2">
        <f t="shared" si="30"/>
        <v>1</v>
      </c>
      <c r="AC148">
        <f t="shared" si="31"/>
        <v>0</v>
      </c>
      <c r="AD148">
        <f t="shared" si="32"/>
        <v>2</v>
      </c>
      <c r="AE148" t="str">
        <f t="shared" si="33"/>
        <v>OK</v>
      </c>
      <c r="AF148" t="str">
        <f t="shared" si="34"/>
        <v>OK</v>
      </c>
      <c r="AG148" t="str">
        <f t="shared" si="35"/>
        <v>OK</v>
      </c>
      <c r="AI148" t="str">
        <f t="shared" si="36"/>
        <v>ERROR</v>
      </c>
      <c r="AJ148" t="str">
        <f t="shared" si="37"/>
        <v>OK</v>
      </c>
      <c r="AK148" t="str">
        <f t="shared" si="38"/>
        <v>OK</v>
      </c>
      <c r="AL148" t="str">
        <f t="shared" si="39"/>
        <v>OK</v>
      </c>
      <c r="AM148" t="str">
        <f t="shared" si="40"/>
        <v>OK</v>
      </c>
      <c r="AN148" t="str">
        <f t="shared" si="41"/>
        <v>OK</v>
      </c>
      <c r="AO148" t="str">
        <f t="shared" si="42"/>
        <v>OK</v>
      </c>
      <c r="AP148" t="str">
        <f t="shared" si="43"/>
        <v>OK</v>
      </c>
      <c r="AQ148" t="str">
        <f t="shared" si="44"/>
        <v>OK</v>
      </c>
    </row>
    <row r="149" spans="1:43" x14ac:dyDescent="0.3">
      <c r="A149" t="s">
        <v>680</v>
      </c>
      <c r="B149" s="1">
        <v>45601</v>
      </c>
      <c r="C149" t="s">
        <v>681</v>
      </c>
      <c r="D149" t="s">
        <v>39</v>
      </c>
      <c r="E149" t="s">
        <v>682</v>
      </c>
      <c r="F149" t="s">
        <v>54</v>
      </c>
      <c r="G149" t="s">
        <v>683</v>
      </c>
      <c r="H149">
        <v>1499</v>
      </c>
      <c r="I149">
        <v>1</v>
      </c>
      <c r="J149">
        <v>1499</v>
      </c>
      <c r="K149" t="s">
        <v>538</v>
      </c>
      <c r="L149">
        <v>40</v>
      </c>
      <c r="M149" t="s">
        <v>44</v>
      </c>
      <c r="N149" t="s">
        <v>31</v>
      </c>
      <c r="O149" t="s">
        <v>78</v>
      </c>
      <c r="P149" t="s">
        <v>79</v>
      </c>
      <c r="Q149" t="s">
        <v>57</v>
      </c>
      <c r="R149" s="1">
        <v>45613</v>
      </c>
      <c r="S149" t="s">
        <v>34</v>
      </c>
      <c r="T149" t="s">
        <v>35</v>
      </c>
      <c r="U149" t="s">
        <v>29</v>
      </c>
      <c r="V149" s="1"/>
      <c r="W149" t="s">
        <v>36</v>
      </c>
      <c r="AB149" s="2">
        <f t="shared" si="30"/>
        <v>1</v>
      </c>
      <c r="AC149">
        <f t="shared" si="31"/>
        <v>0</v>
      </c>
      <c r="AD149">
        <f t="shared" si="32"/>
        <v>2</v>
      </c>
      <c r="AE149" t="str">
        <f t="shared" si="33"/>
        <v>OK</v>
      </c>
      <c r="AF149" t="str">
        <f t="shared" si="34"/>
        <v>OK</v>
      </c>
      <c r="AG149" t="str">
        <f t="shared" si="35"/>
        <v>OK</v>
      </c>
      <c r="AI149" t="str">
        <f t="shared" si="36"/>
        <v>ERROR</v>
      </c>
      <c r="AJ149" t="str">
        <f t="shared" si="37"/>
        <v>OK</v>
      </c>
      <c r="AK149" t="str">
        <f t="shared" si="38"/>
        <v>OK</v>
      </c>
      <c r="AL149" t="str">
        <f t="shared" si="39"/>
        <v>OK</v>
      </c>
      <c r="AM149" t="str">
        <f t="shared" si="40"/>
        <v>ERROR</v>
      </c>
      <c r="AN149" t="str">
        <f t="shared" si="41"/>
        <v>OK</v>
      </c>
      <c r="AO149" t="str">
        <f t="shared" si="42"/>
        <v>OK</v>
      </c>
      <c r="AP149" t="str">
        <f t="shared" si="43"/>
        <v>OK</v>
      </c>
      <c r="AQ149" t="str">
        <f t="shared" si="44"/>
        <v>OK</v>
      </c>
    </row>
    <row r="150" spans="1:43" x14ac:dyDescent="0.3">
      <c r="A150" t="s">
        <v>684</v>
      </c>
      <c r="B150" s="1">
        <v>45601</v>
      </c>
      <c r="C150" t="s">
        <v>685</v>
      </c>
      <c r="D150" t="s">
        <v>25</v>
      </c>
      <c r="E150" t="s">
        <v>686</v>
      </c>
      <c r="F150" t="s">
        <v>62</v>
      </c>
      <c r="G150" t="s">
        <v>687</v>
      </c>
      <c r="H150">
        <v>5699</v>
      </c>
      <c r="I150">
        <v>1</v>
      </c>
      <c r="J150">
        <v>5699</v>
      </c>
      <c r="K150" t="s">
        <v>538</v>
      </c>
      <c r="L150">
        <v>40</v>
      </c>
      <c r="M150" t="s">
        <v>30</v>
      </c>
      <c r="N150" t="s">
        <v>45</v>
      </c>
      <c r="O150" t="s">
        <v>85</v>
      </c>
      <c r="P150" t="s">
        <v>33</v>
      </c>
      <c r="Q150" t="s">
        <v>32</v>
      </c>
      <c r="R150" s="1">
        <v>45615</v>
      </c>
      <c r="S150" t="s">
        <v>34</v>
      </c>
      <c r="T150" t="s">
        <v>47</v>
      </c>
      <c r="U150" t="s">
        <v>48</v>
      </c>
      <c r="V150" s="1">
        <v>45644</v>
      </c>
      <c r="W150" t="s">
        <v>49</v>
      </c>
      <c r="AB150" s="2">
        <f t="shared" si="30"/>
        <v>1</v>
      </c>
      <c r="AC150">
        <f t="shared" si="31"/>
        <v>0</v>
      </c>
      <c r="AD150">
        <f t="shared" si="32"/>
        <v>2</v>
      </c>
      <c r="AE150" t="str">
        <f t="shared" si="33"/>
        <v>OK</v>
      </c>
      <c r="AF150" t="str">
        <f t="shared" si="34"/>
        <v>OK</v>
      </c>
      <c r="AG150" t="str">
        <f t="shared" si="35"/>
        <v>OK</v>
      </c>
      <c r="AI150" t="str">
        <f t="shared" si="36"/>
        <v>ERROR</v>
      </c>
      <c r="AJ150" t="str">
        <f t="shared" si="37"/>
        <v>OK</v>
      </c>
      <c r="AK150" t="str">
        <f t="shared" si="38"/>
        <v>OK</v>
      </c>
      <c r="AL150" t="str">
        <f t="shared" si="39"/>
        <v>OK</v>
      </c>
      <c r="AM150" t="str">
        <f t="shared" si="40"/>
        <v>OK</v>
      </c>
      <c r="AN150" t="str">
        <f t="shared" si="41"/>
        <v>OK</v>
      </c>
      <c r="AO150" t="str">
        <f t="shared" si="42"/>
        <v>OK</v>
      </c>
      <c r="AP150" t="str">
        <f t="shared" si="43"/>
        <v>OK</v>
      </c>
      <c r="AQ150" t="str">
        <f t="shared" si="44"/>
        <v>OK</v>
      </c>
    </row>
    <row r="151" spans="1:43" x14ac:dyDescent="0.3">
      <c r="A151" t="s">
        <v>688</v>
      </c>
      <c r="B151" s="1">
        <v>45601</v>
      </c>
      <c r="C151" t="s">
        <v>689</v>
      </c>
      <c r="D151" t="s">
        <v>25</v>
      </c>
      <c r="E151" t="s">
        <v>690</v>
      </c>
      <c r="F151" t="s">
        <v>72</v>
      </c>
      <c r="G151" t="s">
        <v>691</v>
      </c>
      <c r="H151">
        <v>599</v>
      </c>
      <c r="I151">
        <v>4</v>
      </c>
      <c r="J151">
        <v>2396</v>
      </c>
      <c r="K151" t="s">
        <v>538</v>
      </c>
      <c r="L151">
        <v>40</v>
      </c>
      <c r="M151" t="s">
        <v>56</v>
      </c>
      <c r="N151" t="s">
        <v>66</v>
      </c>
      <c r="O151" t="s">
        <v>97</v>
      </c>
      <c r="P151" t="s">
        <v>98</v>
      </c>
      <c r="Q151" t="s">
        <v>32</v>
      </c>
      <c r="R151" s="1">
        <v>45614</v>
      </c>
      <c r="S151" t="s">
        <v>34</v>
      </c>
      <c r="T151" t="s">
        <v>47</v>
      </c>
      <c r="U151" t="s">
        <v>139</v>
      </c>
      <c r="V151" s="1">
        <v>45642</v>
      </c>
      <c r="W151" t="s">
        <v>49</v>
      </c>
      <c r="AB151" s="2">
        <f t="shared" si="30"/>
        <v>1</v>
      </c>
      <c r="AC151">
        <f t="shared" si="31"/>
        <v>0</v>
      </c>
      <c r="AD151">
        <f t="shared" si="32"/>
        <v>2</v>
      </c>
      <c r="AE151" t="str">
        <f t="shared" si="33"/>
        <v>OK</v>
      </c>
      <c r="AF151" t="str">
        <f t="shared" si="34"/>
        <v>OK</v>
      </c>
      <c r="AG151" t="str">
        <f t="shared" si="35"/>
        <v>OK</v>
      </c>
      <c r="AI151" t="str">
        <f t="shared" si="36"/>
        <v>ERROR</v>
      </c>
      <c r="AJ151" t="str">
        <f t="shared" si="37"/>
        <v>OK</v>
      </c>
      <c r="AK151" t="str">
        <f t="shared" si="38"/>
        <v>OK</v>
      </c>
      <c r="AL151" t="str">
        <f t="shared" si="39"/>
        <v>OK</v>
      </c>
      <c r="AM151" t="str">
        <f t="shared" si="40"/>
        <v>OK</v>
      </c>
      <c r="AN151" t="str">
        <f t="shared" si="41"/>
        <v>OK</v>
      </c>
      <c r="AO151" t="str">
        <f t="shared" si="42"/>
        <v>OK</v>
      </c>
      <c r="AP151" t="str">
        <f t="shared" si="43"/>
        <v>OK</v>
      </c>
      <c r="AQ151" t="str">
        <f t="shared" si="44"/>
        <v>OK</v>
      </c>
    </row>
    <row r="152" spans="1:43" x14ac:dyDescent="0.3">
      <c r="A152" t="s">
        <v>692</v>
      </c>
      <c r="B152" s="1">
        <v>45602</v>
      </c>
      <c r="C152" t="s">
        <v>693</v>
      </c>
      <c r="D152" t="s">
        <v>25</v>
      </c>
      <c r="E152" t="s">
        <v>694</v>
      </c>
      <c r="F152" t="s">
        <v>27</v>
      </c>
      <c r="G152" t="s">
        <v>695</v>
      </c>
      <c r="H152">
        <v>2999</v>
      </c>
      <c r="I152">
        <v>1</v>
      </c>
      <c r="J152">
        <v>2999</v>
      </c>
      <c r="K152" t="s">
        <v>29</v>
      </c>
      <c r="L152">
        <v>0</v>
      </c>
      <c r="M152" t="s">
        <v>44</v>
      </c>
      <c r="N152" t="s">
        <v>31</v>
      </c>
      <c r="O152" t="s">
        <v>103</v>
      </c>
      <c r="P152" t="s">
        <v>104</v>
      </c>
      <c r="Q152" t="s">
        <v>46</v>
      </c>
      <c r="R152" s="1">
        <v>45615</v>
      </c>
      <c r="S152" t="s">
        <v>34</v>
      </c>
      <c r="T152" t="s">
        <v>35</v>
      </c>
      <c r="U152" t="s">
        <v>29</v>
      </c>
      <c r="V152" s="1"/>
      <c r="W152" t="s">
        <v>36</v>
      </c>
      <c r="AB152" s="2">
        <f t="shared" si="30"/>
        <v>1</v>
      </c>
      <c r="AC152">
        <f t="shared" si="31"/>
        <v>0</v>
      </c>
      <c r="AD152">
        <f t="shared" si="32"/>
        <v>2</v>
      </c>
      <c r="AE152" t="str">
        <f t="shared" si="33"/>
        <v>OK</v>
      </c>
      <c r="AF152" t="str">
        <f t="shared" si="34"/>
        <v>OK</v>
      </c>
      <c r="AG152" t="str">
        <f t="shared" si="35"/>
        <v>OK</v>
      </c>
      <c r="AI152" t="str">
        <f t="shared" si="36"/>
        <v>ERROR</v>
      </c>
      <c r="AJ152" t="str">
        <f t="shared" si="37"/>
        <v>OK</v>
      </c>
      <c r="AK152" t="str">
        <f t="shared" si="38"/>
        <v>OK</v>
      </c>
      <c r="AL152" t="str">
        <f t="shared" si="39"/>
        <v>OK</v>
      </c>
      <c r="AM152" t="str">
        <f t="shared" si="40"/>
        <v>ERROR</v>
      </c>
      <c r="AN152" t="str">
        <f t="shared" si="41"/>
        <v>OK</v>
      </c>
      <c r="AO152" t="str">
        <f t="shared" si="42"/>
        <v>OK</v>
      </c>
      <c r="AP152" t="str">
        <f t="shared" si="43"/>
        <v>OK</v>
      </c>
      <c r="AQ152" t="str">
        <f t="shared" si="44"/>
        <v>OK</v>
      </c>
    </row>
    <row r="153" spans="1:43" x14ac:dyDescent="0.3">
      <c r="A153" t="s">
        <v>696</v>
      </c>
      <c r="B153" s="1">
        <v>45602</v>
      </c>
      <c r="C153" t="s">
        <v>697</v>
      </c>
      <c r="D153" t="s">
        <v>25</v>
      </c>
      <c r="E153" t="s">
        <v>698</v>
      </c>
      <c r="F153" t="s">
        <v>41</v>
      </c>
      <c r="G153" t="s">
        <v>699</v>
      </c>
      <c r="H153">
        <v>2799</v>
      </c>
      <c r="I153">
        <v>1</v>
      </c>
      <c r="J153">
        <v>2799</v>
      </c>
      <c r="K153" t="s">
        <v>29</v>
      </c>
      <c r="L153">
        <v>0</v>
      </c>
      <c r="M153" t="s">
        <v>30</v>
      </c>
      <c r="N153" t="s">
        <v>45</v>
      </c>
      <c r="O153" t="s">
        <v>113</v>
      </c>
      <c r="P153" t="s">
        <v>114</v>
      </c>
      <c r="Q153" t="s">
        <v>46</v>
      </c>
      <c r="R153" s="1">
        <v>45616</v>
      </c>
      <c r="S153" t="s">
        <v>34</v>
      </c>
      <c r="T153" t="s">
        <v>47</v>
      </c>
      <c r="U153" t="s">
        <v>69</v>
      </c>
      <c r="V153" s="1">
        <v>45644</v>
      </c>
      <c r="W153" t="s">
        <v>49</v>
      </c>
      <c r="AB153" s="2">
        <f t="shared" si="30"/>
        <v>1</v>
      </c>
      <c r="AC153">
        <f t="shared" si="31"/>
        <v>0</v>
      </c>
      <c r="AD153">
        <f t="shared" si="32"/>
        <v>2</v>
      </c>
      <c r="AE153" t="str">
        <f t="shared" si="33"/>
        <v>OK</v>
      </c>
      <c r="AF153" t="str">
        <f t="shared" si="34"/>
        <v>OK</v>
      </c>
      <c r="AG153" t="str">
        <f t="shared" si="35"/>
        <v>OK</v>
      </c>
      <c r="AI153" t="str">
        <f t="shared" si="36"/>
        <v>ERROR</v>
      </c>
      <c r="AJ153" t="str">
        <f t="shared" si="37"/>
        <v>OK</v>
      </c>
      <c r="AK153" t="str">
        <f t="shared" si="38"/>
        <v>OK</v>
      </c>
      <c r="AL153" t="str">
        <f t="shared" si="39"/>
        <v>OK</v>
      </c>
      <c r="AM153" t="str">
        <f t="shared" si="40"/>
        <v>OK</v>
      </c>
      <c r="AN153" t="str">
        <f t="shared" si="41"/>
        <v>OK</v>
      </c>
      <c r="AO153" t="str">
        <f t="shared" si="42"/>
        <v>OK</v>
      </c>
      <c r="AP153" t="str">
        <f t="shared" si="43"/>
        <v>OK</v>
      </c>
      <c r="AQ153" t="str">
        <f t="shared" si="44"/>
        <v>OK</v>
      </c>
    </row>
    <row r="154" spans="1:43" x14ac:dyDescent="0.3">
      <c r="A154" t="s">
        <v>700</v>
      </c>
      <c r="B154" s="1">
        <v>45602</v>
      </c>
      <c r="C154" t="s">
        <v>701</v>
      </c>
      <c r="D154" t="s">
        <v>39</v>
      </c>
      <c r="E154" t="s">
        <v>702</v>
      </c>
      <c r="F154" t="s">
        <v>54</v>
      </c>
      <c r="G154" t="s">
        <v>703</v>
      </c>
      <c r="H154">
        <v>1699</v>
      </c>
      <c r="I154">
        <v>1</v>
      </c>
      <c r="J154">
        <v>1699</v>
      </c>
      <c r="K154" t="s">
        <v>704</v>
      </c>
      <c r="L154">
        <v>15</v>
      </c>
      <c r="M154" t="s">
        <v>65</v>
      </c>
      <c r="N154" t="s">
        <v>66</v>
      </c>
      <c r="O154" t="s">
        <v>57</v>
      </c>
      <c r="P154" t="s">
        <v>58</v>
      </c>
      <c r="Q154" t="s">
        <v>57</v>
      </c>
      <c r="R154" s="1">
        <v>45614</v>
      </c>
      <c r="S154" t="s">
        <v>34</v>
      </c>
      <c r="T154" t="s">
        <v>35</v>
      </c>
      <c r="U154" t="s">
        <v>29</v>
      </c>
      <c r="V154" s="1"/>
      <c r="W154" t="s">
        <v>36</v>
      </c>
      <c r="AB154" s="2">
        <f t="shared" si="30"/>
        <v>1</v>
      </c>
      <c r="AC154">
        <f t="shared" si="31"/>
        <v>0</v>
      </c>
      <c r="AD154">
        <f t="shared" si="32"/>
        <v>2</v>
      </c>
      <c r="AE154" t="str">
        <f t="shared" si="33"/>
        <v>OK</v>
      </c>
      <c r="AF154" t="str">
        <f t="shared" si="34"/>
        <v>OK</v>
      </c>
      <c r="AG154" t="str">
        <f t="shared" si="35"/>
        <v>OK</v>
      </c>
      <c r="AI154" t="str">
        <f t="shared" si="36"/>
        <v>ERROR</v>
      </c>
      <c r="AJ154" t="str">
        <f t="shared" si="37"/>
        <v>OK</v>
      </c>
      <c r="AK154" t="str">
        <f t="shared" si="38"/>
        <v>OK</v>
      </c>
      <c r="AL154" t="str">
        <f t="shared" si="39"/>
        <v>OK</v>
      </c>
      <c r="AM154" t="str">
        <f t="shared" si="40"/>
        <v>ERROR</v>
      </c>
      <c r="AN154" t="str">
        <f t="shared" si="41"/>
        <v>OK</v>
      </c>
      <c r="AO154" t="str">
        <f t="shared" si="42"/>
        <v>OK</v>
      </c>
      <c r="AP154" t="str">
        <f t="shared" si="43"/>
        <v>OK</v>
      </c>
      <c r="AQ154" t="str">
        <f t="shared" si="44"/>
        <v>OK</v>
      </c>
    </row>
    <row r="155" spans="1:43" x14ac:dyDescent="0.3">
      <c r="A155" t="s">
        <v>705</v>
      </c>
      <c r="B155" s="1">
        <v>45603</v>
      </c>
      <c r="C155" t="s">
        <v>706</v>
      </c>
      <c r="D155" t="s">
        <v>25</v>
      </c>
      <c r="E155" t="s">
        <v>707</v>
      </c>
      <c r="F155" t="s">
        <v>62</v>
      </c>
      <c r="G155" t="s">
        <v>708</v>
      </c>
      <c r="H155">
        <v>4599</v>
      </c>
      <c r="I155">
        <v>1</v>
      </c>
      <c r="J155">
        <v>4599</v>
      </c>
      <c r="K155" t="s">
        <v>29</v>
      </c>
      <c r="L155">
        <v>0</v>
      </c>
      <c r="M155" t="s">
        <v>44</v>
      </c>
      <c r="N155" t="s">
        <v>31</v>
      </c>
      <c r="O155" t="s">
        <v>32</v>
      </c>
      <c r="P155" t="s">
        <v>33</v>
      </c>
      <c r="Q155" t="s">
        <v>32</v>
      </c>
      <c r="R155" s="1">
        <v>45617</v>
      </c>
      <c r="S155" t="s">
        <v>34</v>
      </c>
      <c r="T155" t="s">
        <v>47</v>
      </c>
      <c r="U155" t="s">
        <v>48</v>
      </c>
      <c r="V155" s="1">
        <v>45646</v>
      </c>
      <c r="W155" t="s">
        <v>49</v>
      </c>
      <c r="AB155" s="2">
        <f t="shared" si="30"/>
        <v>1</v>
      </c>
      <c r="AC155">
        <f t="shared" si="31"/>
        <v>0</v>
      </c>
      <c r="AD155">
        <f t="shared" si="32"/>
        <v>2</v>
      </c>
      <c r="AE155" t="str">
        <f t="shared" si="33"/>
        <v>OK</v>
      </c>
      <c r="AF155" t="str">
        <f t="shared" si="34"/>
        <v>OK</v>
      </c>
      <c r="AG155" t="str">
        <f t="shared" si="35"/>
        <v>OK</v>
      </c>
      <c r="AI155" t="str">
        <f t="shared" si="36"/>
        <v>ERROR</v>
      </c>
      <c r="AJ155" t="str">
        <f t="shared" si="37"/>
        <v>OK</v>
      </c>
      <c r="AK155" t="str">
        <f t="shared" si="38"/>
        <v>OK</v>
      </c>
      <c r="AL155" t="str">
        <f t="shared" si="39"/>
        <v>OK</v>
      </c>
      <c r="AM155" t="str">
        <f t="shared" si="40"/>
        <v>OK</v>
      </c>
      <c r="AN155" t="str">
        <f t="shared" si="41"/>
        <v>OK</v>
      </c>
      <c r="AO155" t="str">
        <f t="shared" si="42"/>
        <v>OK</v>
      </c>
      <c r="AP155" t="str">
        <f t="shared" si="43"/>
        <v>OK</v>
      </c>
      <c r="AQ155" t="str">
        <f t="shared" si="44"/>
        <v>OK</v>
      </c>
    </row>
    <row r="156" spans="1:43" x14ac:dyDescent="0.3">
      <c r="A156" t="s">
        <v>709</v>
      </c>
      <c r="B156" s="1">
        <v>45603</v>
      </c>
      <c r="C156" t="s">
        <v>710</v>
      </c>
      <c r="D156" t="s">
        <v>25</v>
      </c>
      <c r="E156" t="s">
        <v>711</v>
      </c>
      <c r="F156" t="s">
        <v>72</v>
      </c>
      <c r="G156" t="s">
        <v>712</v>
      </c>
      <c r="H156">
        <v>899</v>
      </c>
      <c r="I156">
        <v>1</v>
      </c>
      <c r="J156">
        <v>899</v>
      </c>
      <c r="K156" t="s">
        <v>29</v>
      </c>
      <c r="L156">
        <v>0</v>
      </c>
      <c r="M156" t="s">
        <v>56</v>
      </c>
      <c r="N156" t="s">
        <v>45</v>
      </c>
      <c r="O156" t="s">
        <v>46</v>
      </c>
      <c r="P156" t="s">
        <v>46</v>
      </c>
      <c r="Q156" t="s">
        <v>46</v>
      </c>
      <c r="R156" s="1">
        <v>45615</v>
      </c>
      <c r="S156" t="s">
        <v>34</v>
      </c>
      <c r="T156" t="s">
        <v>35</v>
      </c>
      <c r="U156" t="s">
        <v>29</v>
      </c>
      <c r="V156" s="1"/>
      <c r="W156" t="s">
        <v>36</v>
      </c>
      <c r="AB156" s="2">
        <f t="shared" si="30"/>
        <v>1</v>
      </c>
      <c r="AC156">
        <f t="shared" si="31"/>
        <v>0</v>
      </c>
      <c r="AD156">
        <f t="shared" si="32"/>
        <v>2</v>
      </c>
      <c r="AE156" t="str">
        <f t="shared" si="33"/>
        <v>OK</v>
      </c>
      <c r="AF156" t="str">
        <f t="shared" si="34"/>
        <v>OK</v>
      </c>
      <c r="AG156" t="str">
        <f t="shared" si="35"/>
        <v>OK</v>
      </c>
      <c r="AI156" t="str">
        <f t="shared" si="36"/>
        <v>ERROR</v>
      </c>
      <c r="AJ156" t="str">
        <f t="shared" si="37"/>
        <v>OK</v>
      </c>
      <c r="AK156" t="str">
        <f t="shared" si="38"/>
        <v>OK</v>
      </c>
      <c r="AL156" t="str">
        <f t="shared" si="39"/>
        <v>OK</v>
      </c>
      <c r="AM156" t="str">
        <f t="shared" si="40"/>
        <v>ERROR</v>
      </c>
      <c r="AN156" t="str">
        <f t="shared" si="41"/>
        <v>OK</v>
      </c>
      <c r="AO156" t="str">
        <f t="shared" si="42"/>
        <v>OK</v>
      </c>
      <c r="AP156" t="str">
        <f t="shared" si="43"/>
        <v>OK</v>
      </c>
      <c r="AQ156" t="str">
        <f t="shared" si="44"/>
        <v>OK</v>
      </c>
    </row>
    <row r="157" spans="1:43" x14ac:dyDescent="0.3">
      <c r="A157" t="s">
        <v>713</v>
      </c>
      <c r="B157" s="1">
        <v>45603</v>
      </c>
      <c r="C157" t="s">
        <v>714</v>
      </c>
      <c r="D157" t="s">
        <v>25</v>
      </c>
      <c r="E157" t="s">
        <v>715</v>
      </c>
      <c r="F157" t="s">
        <v>27</v>
      </c>
      <c r="G157" t="s">
        <v>716</v>
      </c>
      <c r="H157">
        <v>1799</v>
      </c>
      <c r="I157">
        <v>1</v>
      </c>
      <c r="J157">
        <v>1799</v>
      </c>
      <c r="K157" t="s">
        <v>704</v>
      </c>
      <c r="L157">
        <v>15</v>
      </c>
      <c r="M157" t="s">
        <v>30</v>
      </c>
      <c r="N157" t="s">
        <v>66</v>
      </c>
      <c r="O157" t="s">
        <v>119</v>
      </c>
      <c r="P157" t="s">
        <v>120</v>
      </c>
      <c r="Q157" t="s">
        <v>46</v>
      </c>
      <c r="R157" s="1">
        <v>45616</v>
      </c>
      <c r="S157" t="s">
        <v>34</v>
      </c>
      <c r="T157" t="s">
        <v>47</v>
      </c>
      <c r="U157" t="s">
        <v>105</v>
      </c>
      <c r="V157" s="1">
        <v>45645</v>
      </c>
      <c r="W157" t="s">
        <v>49</v>
      </c>
      <c r="AB157" s="2">
        <f t="shared" si="30"/>
        <v>1</v>
      </c>
      <c r="AC157">
        <f t="shared" si="31"/>
        <v>0</v>
      </c>
      <c r="AD157">
        <f t="shared" si="32"/>
        <v>2</v>
      </c>
      <c r="AE157" t="str">
        <f t="shared" si="33"/>
        <v>OK</v>
      </c>
      <c r="AF157" t="str">
        <f t="shared" si="34"/>
        <v>OK</v>
      </c>
      <c r="AG157" t="str">
        <f t="shared" si="35"/>
        <v>OK</v>
      </c>
      <c r="AI157" t="str">
        <f t="shared" si="36"/>
        <v>ERROR</v>
      </c>
      <c r="AJ157" t="str">
        <f t="shared" si="37"/>
        <v>OK</v>
      </c>
      <c r="AK157" t="str">
        <f t="shared" si="38"/>
        <v>OK</v>
      </c>
      <c r="AL157" t="str">
        <f t="shared" si="39"/>
        <v>OK</v>
      </c>
      <c r="AM157" t="str">
        <f t="shared" si="40"/>
        <v>OK</v>
      </c>
      <c r="AN157" t="str">
        <f t="shared" si="41"/>
        <v>OK</v>
      </c>
      <c r="AO157" t="str">
        <f t="shared" si="42"/>
        <v>OK</v>
      </c>
      <c r="AP157" t="str">
        <f t="shared" si="43"/>
        <v>OK</v>
      </c>
      <c r="AQ157" t="str">
        <f t="shared" si="44"/>
        <v>OK</v>
      </c>
    </row>
    <row r="158" spans="1:43" x14ac:dyDescent="0.3">
      <c r="A158" t="s">
        <v>717</v>
      </c>
      <c r="B158" s="1">
        <v>45604</v>
      </c>
      <c r="C158" t="s">
        <v>718</v>
      </c>
      <c r="D158" t="s">
        <v>25</v>
      </c>
      <c r="E158" t="s">
        <v>719</v>
      </c>
      <c r="F158" t="s">
        <v>41</v>
      </c>
      <c r="G158" t="s">
        <v>720</v>
      </c>
      <c r="H158">
        <v>2599</v>
      </c>
      <c r="I158">
        <v>1</v>
      </c>
      <c r="J158">
        <v>2599</v>
      </c>
      <c r="K158" t="s">
        <v>29</v>
      </c>
      <c r="L158">
        <v>0</v>
      </c>
      <c r="M158" t="s">
        <v>112</v>
      </c>
      <c r="N158" t="s">
        <v>31</v>
      </c>
      <c r="O158" t="s">
        <v>138</v>
      </c>
      <c r="P158" t="s">
        <v>114</v>
      </c>
      <c r="Q158" t="s">
        <v>46</v>
      </c>
      <c r="R158" s="1">
        <v>45618</v>
      </c>
      <c r="S158" t="s">
        <v>34</v>
      </c>
      <c r="T158" t="s">
        <v>35</v>
      </c>
      <c r="U158" t="s">
        <v>29</v>
      </c>
      <c r="V158" s="1"/>
      <c r="W158" t="s">
        <v>36</v>
      </c>
      <c r="AB158" s="2">
        <f t="shared" si="30"/>
        <v>1</v>
      </c>
      <c r="AC158">
        <f t="shared" si="31"/>
        <v>0</v>
      </c>
      <c r="AD158">
        <f t="shared" si="32"/>
        <v>2</v>
      </c>
      <c r="AE158" t="str">
        <f t="shared" si="33"/>
        <v>OK</v>
      </c>
      <c r="AF158" t="str">
        <f t="shared" si="34"/>
        <v>OK</v>
      </c>
      <c r="AG158" t="str">
        <f t="shared" si="35"/>
        <v>OK</v>
      </c>
      <c r="AI158" t="str">
        <f t="shared" si="36"/>
        <v>ERROR</v>
      </c>
      <c r="AJ158" t="str">
        <f t="shared" si="37"/>
        <v>OK</v>
      </c>
      <c r="AK158" t="str">
        <f t="shared" si="38"/>
        <v>OK</v>
      </c>
      <c r="AL158" t="str">
        <f t="shared" si="39"/>
        <v>OK</v>
      </c>
      <c r="AM158" t="str">
        <f t="shared" si="40"/>
        <v>ERROR</v>
      </c>
      <c r="AN158" t="str">
        <f t="shared" si="41"/>
        <v>OK</v>
      </c>
      <c r="AO158" t="str">
        <f t="shared" si="42"/>
        <v>OK</v>
      </c>
      <c r="AP158" t="str">
        <f t="shared" si="43"/>
        <v>OK</v>
      </c>
      <c r="AQ158" t="str">
        <f t="shared" si="44"/>
        <v>OK</v>
      </c>
    </row>
    <row r="159" spans="1:43" x14ac:dyDescent="0.3">
      <c r="A159" t="s">
        <v>721</v>
      </c>
      <c r="B159" s="1">
        <v>45604</v>
      </c>
      <c r="C159" t="s">
        <v>722</v>
      </c>
      <c r="D159" t="s">
        <v>39</v>
      </c>
      <c r="E159" t="s">
        <v>723</v>
      </c>
      <c r="F159" t="s">
        <v>54</v>
      </c>
      <c r="G159" t="s">
        <v>724</v>
      </c>
      <c r="H159">
        <v>1599</v>
      </c>
      <c r="I159">
        <v>1</v>
      </c>
      <c r="J159">
        <v>1599</v>
      </c>
      <c r="K159" t="s">
        <v>29</v>
      </c>
      <c r="L159">
        <v>0</v>
      </c>
      <c r="M159" t="s">
        <v>44</v>
      </c>
      <c r="N159" t="s">
        <v>45</v>
      </c>
      <c r="O159" t="s">
        <v>144</v>
      </c>
      <c r="P159" t="s">
        <v>145</v>
      </c>
      <c r="Q159" t="s">
        <v>46</v>
      </c>
      <c r="R159" s="1">
        <v>45616</v>
      </c>
      <c r="S159" t="s">
        <v>34</v>
      </c>
      <c r="T159" t="s">
        <v>47</v>
      </c>
      <c r="U159" t="s">
        <v>80</v>
      </c>
      <c r="V159" s="1">
        <v>45644</v>
      </c>
      <c r="W159" t="s">
        <v>49</v>
      </c>
      <c r="AB159" s="2">
        <f t="shared" si="30"/>
        <v>1</v>
      </c>
      <c r="AC159">
        <f t="shared" si="31"/>
        <v>0</v>
      </c>
      <c r="AD159">
        <f t="shared" si="32"/>
        <v>2</v>
      </c>
      <c r="AE159" t="str">
        <f t="shared" si="33"/>
        <v>OK</v>
      </c>
      <c r="AF159" t="str">
        <f t="shared" si="34"/>
        <v>OK</v>
      </c>
      <c r="AG159" t="str">
        <f t="shared" si="35"/>
        <v>OK</v>
      </c>
      <c r="AI159" t="str">
        <f t="shared" si="36"/>
        <v>ERROR</v>
      </c>
      <c r="AJ159" t="str">
        <f t="shared" si="37"/>
        <v>OK</v>
      </c>
      <c r="AK159" t="str">
        <f t="shared" si="38"/>
        <v>OK</v>
      </c>
      <c r="AL159" t="str">
        <f t="shared" si="39"/>
        <v>OK</v>
      </c>
      <c r="AM159" t="str">
        <f t="shared" si="40"/>
        <v>OK</v>
      </c>
      <c r="AN159" t="str">
        <f t="shared" si="41"/>
        <v>OK</v>
      </c>
      <c r="AO159" t="str">
        <f t="shared" si="42"/>
        <v>OK</v>
      </c>
      <c r="AP159" t="str">
        <f t="shared" si="43"/>
        <v>OK</v>
      </c>
      <c r="AQ159" t="str">
        <f t="shared" si="44"/>
        <v>OK</v>
      </c>
    </row>
    <row r="160" spans="1:43" x14ac:dyDescent="0.3">
      <c r="A160" t="s">
        <v>725</v>
      </c>
      <c r="B160" s="1">
        <v>45604</v>
      </c>
      <c r="C160" t="s">
        <v>726</v>
      </c>
      <c r="D160" t="s">
        <v>25</v>
      </c>
      <c r="E160" t="s">
        <v>727</v>
      </c>
      <c r="F160" t="s">
        <v>62</v>
      </c>
      <c r="G160" t="s">
        <v>728</v>
      </c>
      <c r="H160">
        <v>5299</v>
      </c>
      <c r="I160">
        <v>1</v>
      </c>
      <c r="J160">
        <v>5299</v>
      </c>
      <c r="K160" t="s">
        <v>704</v>
      </c>
      <c r="L160">
        <v>15</v>
      </c>
      <c r="M160" t="s">
        <v>65</v>
      </c>
      <c r="N160" t="s">
        <v>66</v>
      </c>
      <c r="O160" t="s">
        <v>151</v>
      </c>
      <c r="P160" t="s">
        <v>152</v>
      </c>
      <c r="Q160" t="s">
        <v>32</v>
      </c>
      <c r="R160" s="1">
        <v>45619</v>
      </c>
      <c r="S160" t="s">
        <v>34</v>
      </c>
      <c r="T160" t="s">
        <v>35</v>
      </c>
      <c r="U160" t="s">
        <v>29</v>
      </c>
      <c r="V160" s="1"/>
      <c r="W160" t="s">
        <v>36</v>
      </c>
      <c r="AB160" s="2">
        <f t="shared" si="30"/>
        <v>1</v>
      </c>
      <c r="AC160">
        <f t="shared" si="31"/>
        <v>0</v>
      </c>
      <c r="AD160">
        <f t="shared" si="32"/>
        <v>2</v>
      </c>
      <c r="AE160" t="str">
        <f t="shared" si="33"/>
        <v>OK</v>
      </c>
      <c r="AF160" t="str">
        <f t="shared" si="34"/>
        <v>OK</v>
      </c>
      <c r="AG160" t="str">
        <f t="shared" si="35"/>
        <v>OK</v>
      </c>
      <c r="AI160" t="str">
        <f t="shared" si="36"/>
        <v>ERROR</v>
      </c>
      <c r="AJ160" t="str">
        <f t="shared" si="37"/>
        <v>OK</v>
      </c>
      <c r="AK160" t="str">
        <f t="shared" si="38"/>
        <v>OK</v>
      </c>
      <c r="AL160" t="str">
        <f t="shared" si="39"/>
        <v>OK</v>
      </c>
      <c r="AM160" t="str">
        <f t="shared" si="40"/>
        <v>ERROR</v>
      </c>
      <c r="AN160" t="str">
        <f t="shared" si="41"/>
        <v>OK</v>
      </c>
      <c r="AO160" t="str">
        <f t="shared" si="42"/>
        <v>OK</v>
      </c>
      <c r="AP160" t="str">
        <f t="shared" si="43"/>
        <v>OK</v>
      </c>
      <c r="AQ160" t="str">
        <f t="shared" si="44"/>
        <v>OK</v>
      </c>
    </row>
    <row r="161" spans="1:43" x14ac:dyDescent="0.3">
      <c r="A161" t="s">
        <v>729</v>
      </c>
      <c r="B161" s="1">
        <v>45605</v>
      </c>
      <c r="C161" t="s">
        <v>730</v>
      </c>
      <c r="D161" t="s">
        <v>25</v>
      </c>
      <c r="E161" t="s">
        <v>731</v>
      </c>
      <c r="F161" t="s">
        <v>72</v>
      </c>
      <c r="G161" t="s">
        <v>732</v>
      </c>
      <c r="H161">
        <v>499</v>
      </c>
      <c r="I161">
        <v>3</v>
      </c>
      <c r="J161">
        <v>1497</v>
      </c>
      <c r="K161" t="s">
        <v>29</v>
      </c>
      <c r="L161">
        <v>0</v>
      </c>
      <c r="M161" t="s">
        <v>30</v>
      </c>
      <c r="N161" t="s">
        <v>31</v>
      </c>
      <c r="O161" t="s">
        <v>157</v>
      </c>
      <c r="P161" t="s">
        <v>98</v>
      </c>
      <c r="Q161" t="s">
        <v>32</v>
      </c>
      <c r="R161" s="1">
        <v>45617</v>
      </c>
      <c r="S161" t="s">
        <v>34</v>
      </c>
      <c r="T161" t="s">
        <v>47</v>
      </c>
      <c r="U161" t="s">
        <v>139</v>
      </c>
      <c r="V161" s="1">
        <v>45645</v>
      </c>
      <c r="W161" t="s">
        <v>49</v>
      </c>
      <c r="AB161" s="2">
        <f t="shared" si="30"/>
        <v>1</v>
      </c>
      <c r="AC161">
        <f t="shared" si="31"/>
        <v>0</v>
      </c>
      <c r="AD161">
        <f t="shared" si="32"/>
        <v>2</v>
      </c>
      <c r="AE161" t="str">
        <f t="shared" si="33"/>
        <v>OK</v>
      </c>
      <c r="AF161" t="str">
        <f t="shared" si="34"/>
        <v>OK</v>
      </c>
      <c r="AG161" t="str">
        <f t="shared" si="35"/>
        <v>OK</v>
      </c>
      <c r="AI161" t="str">
        <f t="shared" si="36"/>
        <v>ERROR</v>
      </c>
      <c r="AJ161" t="str">
        <f t="shared" si="37"/>
        <v>OK</v>
      </c>
      <c r="AK161" t="str">
        <f t="shared" si="38"/>
        <v>OK</v>
      </c>
      <c r="AL161" t="str">
        <f t="shared" si="39"/>
        <v>OK</v>
      </c>
      <c r="AM161" t="str">
        <f t="shared" si="40"/>
        <v>OK</v>
      </c>
      <c r="AN161" t="str">
        <f t="shared" si="41"/>
        <v>OK</v>
      </c>
      <c r="AO161" t="str">
        <f t="shared" si="42"/>
        <v>OK</v>
      </c>
      <c r="AP161" t="str">
        <f t="shared" si="43"/>
        <v>OK</v>
      </c>
      <c r="AQ161" t="str">
        <f t="shared" si="44"/>
        <v>OK</v>
      </c>
    </row>
    <row r="162" spans="1:43" x14ac:dyDescent="0.3">
      <c r="A162" t="s">
        <v>733</v>
      </c>
      <c r="B162" s="1">
        <v>45605</v>
      </c>
      <c r="C162" t="s">
        <v>734</v>
      </c>
      <c r="D162" t="s">
        <v>25</v>
      </c>
      <c r="E162" t="s">
        <v>735</v>
      </c>
      <c r="F162" t="s">
        <v>27</v>
      </c>
      <c r="G162" t="s">
        <v>736</v>
      </c>
      <c r="H162">
        <v>2099</v>
      </c>
      <c r="I162">
        <v>1</v>
      </c>
      <c r="J162">
        <v>2099</v>
      </c>
      <c r="K162" t="s">
        <v>29</v>
      </c>
      <c r="L162">
        <v>0</v>
      </c>
      <c r="M162" t="s">
        <v>56</v>
      </c>
      <c r="N162" t="s">
        <v>45</v>
      </c>
      <c r="O162" t="s">
        <v>162</v>
      </c>
      <c r="P162" t="s">
        <v>163</v>
      </c>
      <c r="Q162" t="s">
        <v>46</v>
      </c>
      <c r="R162" s="1"/>
      <c r="S162" t="s">
        <v>121</v>
      </c>
      <c r="T162" t="s">
        <v>35</v>
      </c>
      <c r="U162" t="s">
        <v>29</v>
      </c>
      <c r="V162" s="1"/>
      <c r="W162" t="s">
        <v>36</v>
      </c>
      <c r="AB162" s="2">
        <f t="shared" si="30"/>
        <v>1</v>
      </c>
      <c r="AC162">
        <f t="shared" si="31"/>
        <v>0</v>
      </c>
      <c r="AD162">
        <f t="shared" si="32"/>
        <v>2</v>
      </c>
      <c r="AE162" t="str">
        <f t="shared" si="33"/>
        <v>OK</v>
      </c>
      <c r="AF162" t="str">
        <f t="shared" si="34"/>
        <v>OK</v>
      </c>
      <c r="AG162" t="str">
        <f t="shared" si="35"/>
        <v>OK</v>
      </c>
      <c r="AI162" t="str">
        <f t="shared" si="36"/>
        <v>ERROR</v>
      </c>
      <c r="AJ162" t="str">
        <f t="shared" si="37"/>
        <v>ERROR</v>
      </c>
      <c r="AK162" t="str">
        <f t="shared" si="38"/>
        <v>OK</v>
      </c>
      <c r="AL162" t="str">
        <f t="shared" si="39"/>
        <v>OK</v>
      </c>
      <c r="AM162" t="str">
        <f t="shared" si="40"/>
        <v>OK</v>
      </c>
      <c r="AN162" t="str">
        <f t="shared" si="41"/>
        <v>OK</v>
      </c>
      <c r="AO162" t="str">
        <f t="shared" si="42"/>
        <v>OK</v>
      </c>
      <c r="AP162" t="str">
        <f t="shared" si="43"/>
        <v>OK</v>
      </c>
      <c r="AQ162" t="str">
        <f t="shared" si="44"/>
        <v>OK</v>
      </c>
    </row>
    <row r="163" spans="1:43" x14ac:dyDescent="0.3">
      <c r="A163" t="s">
        <v>737</v>
      </c>
      <c r="B163" s="1">
        <v>45605</v>
      </c>
      <c r="C163" t="s">
        <v>738</v>
      </c>
      <c r="D163" t="s">
        <v>25</v>
      </c>
      <c r="E163" t="s">
        <v>739</v>
      </c>
      <c r="F163" t="s">
        <v>41</v>
      </c>
      <c r="G163" t="s">
        <v>740</v>
      </c>
      <c r="H163">
        <v>2399</v>
      </c>
      <c r="I163">
        <v>1</v>
      </c>
      <c r="J163">
        <v>2399</v>
      </c>
      <c r="K163" t="s">
        <v>704</v>
      </c>
      <c r="L163">
        <v>15</v>
      </c>
      <c r="M163" t="s">
        <v>44</v>
      </c>
      <c r="N163" t="s">
        <v>66</v>
      </c>
      <c r="O163" t="s">
        <v>168</v>
      </c>
      <c r="P163" t="s">
        <v>152</v>
      </c>
      <c r="Q163" t="s">
        <v>32</v>
      </c>
      <c r="R163" s="1">
        <v>45620</v>
      </c>
      <c r="S163" t="s">
        <v>34</v>
      </c>
      <c r="T163" t="s">
        <v>47</v>
      </c>
      <c r="U163" t="s">
        <v>48</v>
      </c>
      <c r="V163" s="1">
        <v>45648</v>
      </c>
      <c r="W163" t="s">
        <v>49</v>
      </c>
      <c r="AB163" s="2">
        <f t="shared" si="30"/>
        <v>1</v>
      </c>
      <c r="AC163">
        <f t="shared" si="31"/>
        <v>0</v>
      </c>
      <c r="AD163">
        <f t="shared" si="32"/>
        <v>2</v>
      </c>
      <c r="AE163" t="str">
        <f t="shared" si="33"/>
        <v>OK</v>
      </c>
      <c r="AF163" t="str">
        <f t="shared" si="34"/>
        <v>OK</v>
      </c>
      <c r="AG163" t="str">
        <f t="shared" si="35"/>
        <v>OK</v>
      </c>
      <c r="AI163" t="str">
        <f t="shared" si="36"/>
        <v>ERROR</v>
      </c>
      <c r="AJ163" t="str">
        <f t="shared" si="37"/>
        <v>OK</v>
      </c>
      <c r="AK163" t="str">
        <f t="shared" si="38"/>
        <v>OK</v>
      </c>
      <c r="AL163" t="str">
        <f t="shared" si="39"/>
        <v>OK</v>
      </c>
      <c r="AM163" t="str">
        <f t="shared" si="40"/>
        <v>OK</v>
      </c>
      <c r="AN163" t="str">
        <f t="shared" si="41"/>
        <v>OK</v>
      </c>
      <c r="AO163" t="str">
        <f t="shared" si="42"/>
        <v>OK</v>
      </c>
      <c r="AP163" t="str">
        <f t="shared" si="43"/>
        <v>OK</v>
      </c>
      <c r="AQ163" t="str">
        <f t="shared" si="44"/>
        <v>OK</v>
      </c>
    </row>
    <row r="164" spans="1:43" x14ac:dyDescent="0.3">
      <c r="A164" t="s">
        <v>741</v>
      </c>
      <c r="B164" s="1">
        <v>45606</v>
      </c>
      <c r="C164" t="s">
        <v>742</v>
      </c>
      <c r="D164" t="s">
        <v>39</v>
      </c>
      <c r="E164" t="s">
        <v>743</v>
      </c>
      <c r="F164" t="s">
        <v>54</v>
      </c>
      <c r="G164" t="s">
        <v>744</v>
      </c>
      <c r="H164">
        <v>1799</v>
      </c>
      <c r="I164">
        <v>1</v>
      </c>
      <c r="J164">
        <v>1799</v>
      </c>
      <c r="K164" t="s">
        <v>29</v>
      </c>
      <c r="L164">
        <v>0</v>
      </c>
      <c r="M164" t="s">
        <v>112</v>
      </c>
      <c r="N164" t="s">
        <v>31</v>
      </c>
      <c r="O164" t="s">
        <v>173</v>
      </c>
      <c r="P164" t="s">
        <v>33</v>
      </c>
      <c r="Q164" t="s">
        <v>32</v>
      </c>
      <c r="R164" s="1">
        <v>45618</v>
      </c>
      <c r="S164" t="s">
        <v>34</v>
      </c>
      <c r="T164" t="s">
        <v>35</v>
      </c>
      <c r="U164" t="s">
        <v>29</v>
      </c>
      <c r="V164" s="1"/>
      <c r="W164" t="s">
        <v>36</v>
      </c>
      <c r="AB164" s="2">
        <f t="shared" si="30"/>
        <v>1</v>
      </c>
      <c r="AC164">
        <f t="shared" si="31"/>
        <v>0</v>
      </c>
      <c r="AD164">
        <f t="shared" si="32"/>
        <v>2</v>
      </c>
      <c r="AE164" t="str">
        <f t="shared" si="33"/>
        <v>OK</v>
      </c>
      <c r="AF164" t="str">
        <f t="shared" si="34"/>
        <v>OK</v>
      </c>
      <c r="AG164" t="str">
        <f t="shared" si="35"/>
        <v>OK</v>
      </c>
      <c r="AI164" t="str">
        <f t="shared" si="36"/>
        <v>ERROR</v>
      </c>
      <c r="AJ164" t="str">
        <f t="shared" si="37"/>
        <v>OK</v>
      </c>
      <c r="AK164" t="str">
        <f t="shared" si="38"/>
        <v>OK</v>
      </c>
      <c r="AL164" t="str">
        <f t="shared" si="39"/>
        <v>OK</v>
      </c>
      <c r="AM164" t="str">
        <f t="shared" si="40"/>
        <v>ERROR</v>
      </c>
      <c r="AN164" t="str">
        <f t="shared" si="41"/>
        <v>OK</v>
      </c>
      <c r="AO164" t="str">
        <f t="shared" si="42"/>
        <v>OK</v>
      </c>
      <c r="AP164" t="str">
        <f t="shared" si="43"/>
        <v>OK</v>
      </c>
      <c r="AQ164" t="str">
        <f t="shared" si="44"/>
        <v>OK</v>
      </c>
    </row>
    <row r="165" spans="1:43" x14ac:dyDescent="0.3">
      <c r="A165" t="s">
        <v>745</v>
      </c>
      <c r="B165" s="1">
        <v>45575</v>
      </c>
      <c r="C165" t="s">
        <v>746</v>
      </c>
      <c r="D165" t="s">
        <v>25</v>
      </c>
      <c r="E165" t="s">
        <v>747</v>
      </c>
      <c r="F165" t="s">
        <v>62</v>
      </c>
      <c r="G165" t="s">
        <v>748</v>
      </c>
      <c r="H165">
        <v>4199</v>
      </c>
      <c r="I165">
        <v>1</v>
      </c>
      <c r="J165">
        <v>4199</v>
      </c>
      <c r="K165" t="s">
        <v>29</v>
      </c>
      <c r="L165">
        <v>0</v>
      </c>
      <c r="M165" t="s">
        <v>30</v>
      </c>
      <c r="N165" t="s">
        <v>45</v>
      </c>
      <c r="O165" t="s">
        <v>178</v>
      </c>
      <c r="P165" t="s">
        <v>68</v>
      </c>
      <c r="Q165" t="s">
        <v>57</v>
      </c>
      <c r="R165" s="1">
        <v>45621</v>
      </c>
      <c r="S165" t="s">
        <v>34</v>
      </c>
      <c r="T165" t="s">
        <v>47</v>
      </c>
      <c r="U165" t="s">
        <v>69</v>
      </c>
      <c r="V165" s="1">
        <v>45650</v>
      </c>
      <c r="W165" t="s">
        <v>49</v>
      </c>
      <c r="AB165" s="2">
        <f t="shared" si="30"/>
        <v>1</v>
      </c>
      <c r="AC165">
        <f t="shared" si="31"/>
        <v>0</v>
      </c>
      <c r="AD165">
        <f t="shared" si="32"/>
        <v>2</v>
      </c>
      <c r="AE165" t="str">
        <f t="shared" si="33"/>
        <v>OK</v>
      </c>
      <c r="AF165" t="str">
        <f t="shared" si="34"/>
        <v>OK</v>
      </c>
      <c r="AG165" t="str">
        <f t="shared" si="35"/>
        <v>OK</v>
      </c>
      <c r="AI165" t="str">
        <f t="shared" si="36"/>
        <v>ERROR</v>
      </c>
      <c r="AJ165" t="str">
        <f t="shared" si="37"/>
        <v>OK</v>
      </c>
      <c r="AK165" t="str">
        <f t="shared" si="38"/>
        <v>OK</v>
      </c>
      <c r="AL165" t="str">
        <f t="shared" si="39"/>
        <v>OK</v>
      </c>
      <c r="AM165" t="str">
        <f t="shared" si="40"/>
        <v>OK</v>
      </c>
      <c r="AN165" t="str">
        <f t="shared" si="41"/>
        <v>OK</v>
      </c>
      <c r="AO165" t="str">
        <f t="shared" si="42"/>
        <v>OK</v>
      </c>
      <c r="AP165" t="str">
        <f t="shared" si="43"/>
        <v>OK</v>
      </c>
      <c r="AQ165" t="str">
        <f t="shared" si="44"/>
        <v>OK</v>
      </c>
    </row>
    <row r="166" spans="1:43" x14ac:dyDescent="0.3">
      <c r="A166" t="s">
        <v>749</v>
      </c>
      <c r="B166" s="1">
        <v>45606</v>
      </c>
      <c r="C166" t="s">
        <v>750</v>
      </c>
      <c r="D166" t="s">
        <v>25</v>
      </c>
      <c r="E166" t="s">
        <v>751</v>
      </c>
      <c r="F166" t="s">
        <v>72</v>
      </c>
      <c r="G166" t="s">
        <v>752</v>
      </c>
      <c r="H166">
        <v>699</v>
      </c>
      <c r="I166">
        <v>2</v>
      </c>
      <c r="J166">
        <v>1398</v>
      </c>
      <c r="K166" t="s">
        <v>29</v>
      </c>
      <c r="L166">
        <v>0</v>
      </c>
      <c r="M166" t="s">
        <v>65</v>
      </c>
      <c r="N166" t="s">
        <v>66</v>
      </c>
      <c r="O166" t="s">
        <v>183</v>
      </c>
      <c r="P166" t="s">
        <v>184</v>
      </c>
      <c r="Q166" t="s">
        <v>57</v>
      </c>
      <c r="R166" s="1">
        <v>45619</v>
      </c>
      <c r="S166" t="s">
        <v>34</v>
      </c>
      <c r="T166" t="s">
        <v>35</v>
      </c>
      <c r="U166" t="s">
        <v>29</v>
      </c>
      <c r="V166" s="1"/>
      <c r="W166" t="s">
        <v>36</v>
      </c>
      <c r="AB166" s="2">
        <f t="shared" si="30"/>
        <v>1</v>
      </c>
      <c r="AC166">
        <f t="shared" si="31"/>
        <v>0</v>
      </c>
      <c r="AD166">
        <f t="shared" si="32"/>
        <v>2</v>
      </c>
      <c r="AE166" t="str">
        <f t="shared" si="33"/>
        <v>OK</v>
      </c>
      <c r="AF166" t="str">
        <f t="shared" si="34"/>
        <v>OK</v>
      </c>
      <c r="AG166" t="str">
        <f t="shared" si="35"/>
        <v>OK</v>
      </c>
      <c r="AI166" t="str">
        <f t="shared" si="36"/>
        <v>ERROR</v>
      </c>
      <c r="AJ166" t="str">
        <f t="shared" si="37"/>
        <v>OK</v>
      </c>
      <c r="AK166" t="str">
        <f t="shared" si="38"/>
        <v>OK</v>
      </c>
      <c r="AL166" t="str">
        <f t="shared" si="39"/>
        <v>OK</v>
      </c>
      <c r="AM166" t="str">
        <f t="shared" si="40"/>
        <v>ERROR</v>
      </c>
      <c r="AN166" t="str">
        <f t="shared" si="41"/>
        <v>OK</v>
      </c>
      <c r="AO166" t="str">
        <f t="shared" si="42"/>
        <v>OK</v>
      </c>
      <c r="AP166" t="str">
        <f t="shared" si="43"/>
        <v>OK</v>
      </c>
      <c r="AQ166" t="str">
        <f t="shared" si="44"/>
        <v>OK</v>
      </c>
    </row>
    <row r="167" spans="1:43" x14ac:dyDescent="0.3">
      <c r="A167" t="s">
        <v>753</v>
      </c>
      <c r="B167" s="1">
        <v>45607</v>
      </c>
      <c r="C167" t="s">
        <v>754</v>
      </c>
      <c r="D167" t="s">
        <v>25</v>
      </c>
      <c r="E167" t="s">
        <v>500</v>
      </c>
      <c r="F167" t="s">
        <v>27</v>
      </c>
      <c r="G167" t="s">
        <v>755</v>
      </c>
      <c r="H167">
        <v>1599</v>
      </c>
      <c r="I167">
        <v>1</v>
      </c>
      <c r="J167">
        <v>1599</v>
      </c>
      <c r="K167" t="s">
        <v>704</v>
      </c>
      <c r="L167">
        <v>15</v>
      </c>
      <c r="M167" t="s">
        <v>44</v>
      </c>
      <c r="N167" t="s">
        <v>31</v>
      </c>
      <c r="O167" t="s">
        <v>189</v>
      </c>
      <c r="P167" t="s">
        <v>190</v>
      </c>
      <c r="Q167" t="s">
        <v>57</v>
      </c>
      <c r="R167" s="1">
        <v>45620</v>
      </c>
      <c r="S167" t="s">
        <v>34</v>
      </c>
      <c r="T167" t="s">
        <v>47</v>
      </c>
      <c r="U167" t="s">
        <v>48</v>
      </c>
      <c r="V167" s="1">
        <v>45649</v>
      </c>
      <c r="W167" t="s">
        <v>49</v>
      </c>
      <c r="AB167" s="2">
        <f t="shared" si="30"/>
        <v>1</v>
      </c>
      <c r="AC167">
        <f t="shared" si="31"/>
        <v>0</v>
      </c>
      <c r="AD167">
        <f t="shared" si="32"/>
        <v>2</v>
      </c>
      <c r="AE167" t="str">
        <f t="shared" si="33"/>
        <v>OK</v>
      </c>
      <c r="AF167" t="str">
        <f t="shared" si="34"/>
        <v>OK</v>
      </c>
      <c r="AG167" t="str">
        <f t="shared" si="35"/>
        <v>OK</v>
      </c>
      <c r="AI167" t="str">
        <f t="shared" si="36"/>
        <v>ERROR</v>
      </c>
      <c r="AJ167" t="str">
        <f t="shared" si="37"/>
        <v>OK</v>
      </c>
      <c r="AK167" t="str">
        <f t="shared" si="38"/>
        <v>OK</v>
      </c>
      <c r="AL167" t="str">
        <f t="shared" si="39"/>
        <v>OK</v>
      </c>
      <c r="AM167" t="str">
        <f t="shared" si="40"/>
        <v>OK</v>
      </c>
      <c r="AN167" t="str">
        <f t="shared" si="41"/>
        <v>OK</v>
      </c>
      <c r="AO167" t="str">
        <f t="shared" si="42"/>
        <v>OK</v>
      </c>
      <c r="AP167" t="str">
        <f t="shared" si="43"/>
        <v>OK</v>
      </c>
      <c r="AQ167" t="str">
        <f t="shared" si="44"/>
        <v>OK</v>
      </c>
    </row>
    <row r="168" spans="1:43" x14ac:dyDescent="0.3">
      <c r="A168" t="s">
        <v>756</v>
      </c>
      <c r="B168" s="1">
        <v>45607</v>
      </c>
      <c r="C168" t="s">
        <v>757</v>
      </c>
      <c r="D168" t="s">
        <v>25</v>
      </c>
      <c r="E168" t="s">
        <v>758</v>
      </c>
      <c r="F168" t="s">
        <v>41</v>
      </c>
      <c r="G168" t="s">
        <v>759</v>
      </c>
      <c r="H168">
        <v>2899</v>
      </c>
      <c r="I168">
        <v>1</v>
      </c>
      <c r="J168">
        <v>2899</v>
      </c>
      <c r="K168" t="s">
        <v>29</v>
      </c>
      <c r="L168">
        <v>0</v>
      </c>
      <c r="M168" t="s">
        <v>56</v>
      </c>
      <c r="N168" t="s">
        <v>45</v>
      </c>
      <c r="O168" t="s">
        <v>195</v>
      </c>
      <c r="P168" t="s">
        <v>184</v>
      </c>
      <c r="Q168" t="s">
        <v>57</v>
      </c>
      <c r="R168" s="1">
        <v>45622</v>
      </c>
      <c r="S168" t="s">
        <v>34</v>
      </c>
      <c r="T168" t="s">
        <v>47</v>
      </c>
      <c r="U168" t="s">
        <v>105</v>
      </c>
      <c r="V168" s="1">
        <v>45651</v>
      </c>
      <c r="W168" t="s">
        <v>49</v>
      </c>
      <c r="AB168" s="2">
        <f t="shared" si="30"/>
        <v>1</v>
      </c>
      <c r="AC168">
        <f t="shared" si="31"/>
        <v>0</v>
      </c>
      <c r="AD168">
        <f t="shared" si="32"/>
        <v>2</v>
      </c>
      <c r="AE168" t="str">
        <f t="shared" si="33"/>
        <v>OK</v>
      </c>
      <c r="AF168" t="str">
        <f t="shared" si="34"/>
        <v>OK</v>
      </c>
      <c r="AG168" t="str">
        <f t="shared" si="35"/>
        <v>OK</v>
      </c>
      <c r="AI168" t="str">
        <f t="shared" si="36"/>
        <v>ERROR</v>
      </c>
      <c r="AJ168" t="str">
        <f t="shared" si="37"/>
        <v>OK</v>
      </c>
      <c r="AK168" t="str">
        <f t="shared" si="38"/>
        <v>OK</v>
      </c>
      <c r="AL168" t="str">
        <f t="shared" si="39"/>
        <v>OK</v>
      </c>
      <c r="AM168" t="str">
        <f t="shared" si="40"/>
        <v>OK</v>
      </c>
      <c r="AN168" t="str">
        <f t="shared" si="41"/>
        <v>OK</v>
      </c>
      <c r="AO168" t="str">
        <f t="shared" si="42"/>
        <v>OK</v>
      </c>
      <c r="AP168" t="str">
        <f t="shared" si="43"/>
        <v>OK</v>
      </c>
      <c r="AQ168" t="str">
        <f t="shared" si="44"/>
        <v>OK</v>
      </c>
    </row>
    <row r="169" spans="1:43" x14ac:dyDescent="0.3">
      <c r="A169" t="s">
        <v>760</v>
      </c>
      <c r="B169" s="1">
        <v>45607</v>
      </c>
      <c r="C169" t="s">
        <v>761</v>
      </c>
      <c r="D169" t="s">
        <v>39</v>
      </c>
      <c r="E169" t="s">
        <v>762</v>
      </c>
      <c r="F169" t="s">
        <v>54</v>
      </c>
      <c r="G169" t="s">
        <v>763</v>
      </c>
      <c r="H169">
        <v>2199</v>
      </c>
      <c r="I169">
        <v>1</v>
      </c>
      <c r="J169">
        <v>2199</v>
      </c>
      <c r="K169" t="s">
        <v>29</v>
      </c>
      <c r="L169">
        <v>0</v>
      </c>
      <c r="M169" t="s">
        <v>30</v>
      </c>
      <c r="N169" t="s">
        <v>66</v>
      </c>
      <c r="O169" t="s">
        <v>200</v>
      </c>
      <c r="P169" t="s">
        <v>58</v>
      </c>
      <c r="Q169" t="s">
        <v>57</v>
      </c>
      <c r="R169" s="1">
        <v>45620</v>
      </c>
      <c r="S169" t="s">
        <v>34</v>
      </c>
      <c r="T169" t="s">
        <v>35</v>
      </c>
      <c r="U169" t="s">
        <v>29</v>
      </c>
      <c r="V169" s="1"/>
      <c r="W169" t="s">
        <v>36</v>
      </c>
      <c r="AB169" s="2">
        <f t="shared" si="30"/>
        <v>1</v>
      </c>
      <c r="AC169">
        <f t="shared" si="31"/>
        <v>0</v>
      </c>
      <c r="AD169">
        <f t="shared" si="32"/>
        <v>2</v>
      </c>
      <c r="AE169" t="str">
        <f t="shared" si="33"/>
        <v>OK</v>
      </c>
      <c r="AF169" t="str">
        <f t="shared" si="34"/>
        <v>OK</v>
      </c>
      <c r="AG169" t="str">
        <f t="shared" si="35"/>
        <v>OK</v>
      </c>
      <c r="AI169" t="str">
        <f t="shared" si="36"/>
        <v>ERROR</v>
      </c>
      <c r="AJ169" t="str">
        <f t="shared" si="37"/>
        <v>OK</v>
      </c>
      <c r="AK169" t="str">
        <f t="shared" si="38"/>
        <v>OK</v>
      </c>
      <c r="AL169" t="str">
        <f t="shared" si="39"/>
        <v>OK</v>
      </c>
      <c r="AM169" t="str">
        <f t="shared" si="40"/>
        <v>ERROR</v>
      </c>
      <c r="AN169" t="str">
        <f t="shared" si="41"/>
        <v>OK</v>
      </c>
      <c r="AO169" t="str">
        <f t="shared" si="42"/>
        <v>OK</v>
      </c>
      <c r="AP169" t="str">
        <f t="shared" si="43"/>
        <v>OK</v>
      </c>
      <c r="AQ169" t="str">
        <f t="shared" si="44"/>
        <v>OK</v>
      </c>
    </row>
    <row r="170" spans="1:43" x14ac:dyDescent="0.3">
      <c r="A170" t="s">
        <v>764</v>
      </c>
      <c r="B170" s="1">
        <v>45608</v>
      </c>
      <c r="C170" t="s">
        <v>765</v>
      </c>
      <c r="D170" t="s">
        <v>25</v>
      </c>
      <c r="E170" t="s">
        <v>766</v>
      </c>
      <c r="F170" t="s">
        <v>62</v>
      </c>
      <c r="G170" t="s">
        <v>767</v>
      </c>
      <c r="H170">
        <v>5599</v>
      </c>
      <c r="I170">
        <v>1</v>
      </c>
      <c r="J170">
        <v>5599</v>
      </c>
      <c r="K170" t="s">
        <v>29</v>
      </c>
      <c r="L170">
        <v>0</v>
      </c>
      <c r="M170" t="s">
        <v>44</v>
      </c>
      <c r="N170" t="s">
        <v>31</v>
      </c>
      <c r="O170" t="s">
        <v>205</v>
      </c>
      <c r="P170" t="s">
        <v>98</v>
      </c>
      <c r="Q170" t="s">
        <v>32</v>
      </c>
      <c r="R170" s="1">
        <v>45623</v>
      </c>
      <c r="S170" t="s">
        <v>34</v>
      </c>
      <c r="T170" t="s">
        <v>47</v>
      </c>
      <c r="U170" t="s">
        <v>80</v>
      </c>
      <c r="V170" s="1">
        <v>45652</v>
      </c>
      <c r="W170" t="s">
        <v>49</v>
      </c>
      <c r="AB170" s="2">
        <f t="shared" si="30"/>
        <v>1</v>
      </c>
      <c r="AC170">
        <f t="shared" si="31"/>
        <v>0</v>
      </c>
      <c r="AD170">
        <f t="shared" si="32"/>
        <v>2</v>
      </c>
      <c r="AE170" t="str">
        <f t="shared" si="33"/>
        <v>OK</v>
      </c>
      <c r="AF170" t="str">
        <f t="shared" si="34"/>
        <v>OK</v>
      </c>
      <c r="AG170" t="str">
        <f t="shared" si="35"/>
        <v>OK</v>
      </c>
      <c r="AI170" t="str">
        <f t="shared" si="36"/>
        <v>ERROR</v>
      </c>
      <c r="AJ170" t="str">
        <f t="shared" si="37"/>
        <v>OK</v>
      </c>
      <c r="AK170" t="str">
        <f t="shared" si="38"/>
        <v>OK</v>
      </c>
      <c r="AL170" t="str">
        <f t="shared" si="39"/>
        <v>OK</v>
      </c>
      <c r="AM170" t="str">
        <f t="shared" si="40"/>
        <v>OK</v>
      </c>
      <c r="AN170" t="str">
        <f t="shared" si="41"/>
        <v>OK</v>
      </c>
      <c r="AO170" t="str">
        <f t="shared" si="42"/>
        <v>OK</v>
      </c>
      <c r="AP170" t="str">
        <f t="shared" si="43"/>
        <v>OK</v>
      </c>
      <c r="AQ170" t="str">
        <f t="shared" si="44"/>
        <v>OK</v>
      </c>
    </row>
    <row r="171" spans="1:43" x14ac:dyDescent="0.3">
      <c r="A171" t="s">
        <v>768</v>
      </c>
      <c r="B171" s="1">
        <v>45608</v>
      </c>
      <c r="C171" t="s">
        <v>769</v>
      </c>
      <c r="D171" t="s">
        <v>25</v>
      </c>
      <c r="E171" t="s">
        <v>770</v>
      </c>
      <c r="F171" t="s">
        <v>72</v>
      </c>
      <c r="G171" t="s">
        <v>771</v>
      </c>
      <c r="H171">
        <v>399</v>
      </c>
      <c r="I171">
        <v>2</v>
      </c>
      <c r="J171">
        <v>798</v>
      </c>
      <c r="K171" t="s">
        <v>704</v>
      </c>
      <c r="L171">
        <v>15</v>
      </c>
      <c r="M171" t="s">
        <v>112</v>
      </c>
      <c r="N171" t="s">
        <v>45</v>
      </c>
      <c r="O171" t="s">
        <v>210</v>
      </c>
      <c r="P171" t="s">
        <v>98</v>
      </c>
      <c r="Q171" t="s">
        <v>32</v>
      </c>
      <c r="R171" s="1">
        <v>45621</v>
      </c>
      <c r="S171" t="s">
        <v>34</v>
      </c>
      <c r="T171" t="s">
        <v>35</v>
      </c>
      <c r="U171" t="s">
        <v>29</v>
      </c>
      <c r="V171" s="1"/>
      <c r="W171" t="s">
        <v>36</v>
      </c>
      <c r="AB171" s="2">
        <f t="shared" si="30"/>
        <v>1</v>
      </c>
      <c r="AC171">
        <f t="shared" si="31"/>
        <v>0</v>
      </c>
      <c r="AD171">
        <f t="shared" si="32"/>
        <v>2</v>
      </c>
      <c r="AE171" t="str">
        <f t="shared" si="33"/>
        <v>OK</v>
      </c>
      <c r="AF171" t="str">
        <f t="shared" si="34"/>
        <v>OK</v>
      </c>
      <c r="AG171" t="str">
        <f t="shared" si="35"/>
        <v>OK</v>
      </c>
      <c r="AI171" t="str">
        <f t="shared" si="36"/>
        <v>ERROR</v>
      </c>
      <c r="AJ171" t="str">
        <f t="shared" si="37"/>
        <v>OK</v>
      </c>
      <c r="AK171" t="str">
        <f t="shared" si="38"/>
        <v>OK</v>
      </c>
      <c r="AL171" t="str">
        <f t="shared" si="39"/>
        <v>OK</v>
      </c>
      <c r="AM171" t="str">
        <f t="shared" si="40"/>
        <v>ERROR</v>
      </c>
      <c r="AN171" t="str">
        <f t="shared" si="41"/>
        <v>OK</v>
      </c>
      <c r="AO171" t="str">
        <f t="shared" si="42"/>
        <v>OK</v>
      </c>
      <c r="AP171" t="str">
        <f t="shared" si="43"/>
        <v>OK</v>
      </c>
      <c r="AQ171" t="str">
        <f t="shared" si="44"/>
        <v>OK</v>
      </c>
    </row>
    <row r="172" spans="1:43" x14ac:dyDescent="0.3">
      <c r="A172" t="s">
        <v>772</v>
      </c>
      <c r="B172" s="1">
        <v>45608</v>
      </c>
      <c r="C172" t="s">
        <v>773</v>
      </c>
      <c r="D172" t="s">
        <v>25</v>
      </c>
      <c r="E172" t="s">
        <v>774</v>
      </c>
      <c r="F172" t="s">
        <v>27</v>
      </c>
      <c r="G172" t="s">
        <v>775</v>
      </c>
      <c r="H172">
        <v>1899</v>
      </c>
      <c r="I172">
        <v>1</v>
      </c>
      <c r="J172">
        <v>1899</v>
      </c>
      <c r="K172" t="s">
        <v>29</v>
      </c>
      <c r="L172">
        <v>0</v>
      </c>
      <c r="M172" t="s">
        <v>65</v>
      </c>
      <c r="N172" t="s">
        <v>66</v>
      </c>
      <c r="O172" t="s">
        <v>215</v>
      </c>
      <c r="P172" t="s">
        <v>114</v>
      </c>
      <c r="Q172" t="s">
        <v>46</v>
      </c>
      <c r="R172" s="1">
        <v>45622</v>
      </c>
      <c r="S172" t="s">
        <v>34</v>
      </c>
      <c r="T172" t="s">
        <v>47</v>
      </c>
      <c r="U172" t="s">
        <v>69</v>
      </c>
      <c r="V172" s="1">
        <v>45650</v>
      </c>
      <c r="W172" t="s">
        <v>49</v>
      </c>
      <c r="AB172" s="2">
        <f t="shared" si="30"/>
        <v>1</v>
      </c>
      <c r="AC172">
        <f t="shared" si="31"/>
        <v>0</v>
      </c>
      <c r="AD172">
        <f t="shared" si="32"/>
        <v>2</v>
      </c>
      <c r="AE172" t="str">
        <f t="shared" si="33"/>
        <v>OK</v>
      </c>
      <c r="AF172" t="str">
        <f t="shared" si="34"/>
        <v>OK</v>
      </c>
      <c r="AG172" t="str">
        <f t="shared" si="35"/>
        <v>OK</v>
      </c>
      <c r="AI172" t="str">
        <f t="shared" si="36"/>
        <v>ERROR</v>
      </c>
      <c r="AJ172" t="str">
        <f t="shared" si="37"/>
        <v>OK</v>
      </c>
      <c r="AK172" t="str">
        <f t="shared" si="38"/>
        <v>OK</v>
      </c>
      <c r="AL172" t="str">
        <f t="shared" si="39"/>
        <v>OK</v>
      </c>
      <c r="AM172" t="str">
        <f t="shared" si="40"/>
        <v>OK</v>
      </c>
      <c r="AN172" t="str">
        <f t="shared" si="41"/>
        <v>OK</v>
      </c>
      <c r="AO172" t="str">
        <f t="shared" si="42"/>
        <v>OK</v>
      </c>
      <c r="AP172" t="str">
        <f t="shared" si="43"/>
        <v>OK</v>
      </c>
      <c r="AQ172" t="str">
        <f t="shared" si="44"/>
        <v>OK</v>
      </c>
    </row>
    <row r="173" spans="1:43" x14ac:dyDescent="0.3">
      <c r="A173" t="s">
        <v>776</v>
      </c>
      <c r="B173" s="1">
        <v>45609</v>
      </c>
      <c r="C173" t="s">
        <v>777</v>
      </c>
      <c r="D173" t="s">
        <v>25</v>
      </c>
      <c r="E173" t="s">
        <v>778</v>
      </c>
      <c r="F173" t="s">
        <v>41</v>
      </c>
      <c r="G173" t="s">
        <v>779</v>
      </c>
      <c r="H173">
        <v>2699</v>
      </c>
      <c r="I173">
        <v>1</v>
      </c>
      <c r="J173">
        <v>2699</v>
      </c>
      <c r="K173" t="s">
        <v>29</v>
      </c>
      <c r="L173">
        <v>0</v>
      </c>
      <c r="M173" t="s">
        <v>30</v>
      </c>
      <c r="N173" t="s">
        <v>31</v>
      </c>
      <c r="O173" t="s">
        <v>32</v>
      </c>
      <c r="P173" t="s">
        <v>33</v>
      </c>
      <c r="Q173" t="s">
        <v>32</v>
      </c>
      <c r="R173" s="1">
        <v>45624</v>
      </c>
      <c r="S173" t="s">
        <v>34</v>
      </c>
      <c r="T173" t="s">
        <v>35</v>
      </c>
      <c r="U173" t="s">
        <v>29</v>
      </c>
      <c r="V173" s="1"/>
      <c r="W173" t="s">
        <v>36</v>
      </c>
      <c r="AB173" s="2">
        <f t="shared" si="30"/>
        <v>1</v>
      </c>
      <c r="AC173">
        <f t="shared" si="31"/>
        <v>0</v>
      </c>
      <c r="AD173">
        <f t="shared" si="32"/>
        <v>2</v>
      </c>
      <c r="AE173" t="str">
        <f t="shared" si="33"/>
        <v>OK</v>
      </c>
      <c r="AF173" t="str">
        <f t="shared" si="34"/>
        <v>OK</v>
      </c>
      <c r="AG173" t="str">
        <f t="shared" si="35"/>
        <v>OK</v>
      </c>
      <c r="AI173" t="str">
        <f t="shared" si="36"/>
        <v>ERROR</v>
      </c>
      <c r="AJ173" t="str">
        <f t="shared" si="37"/>
        <v>OK</v>
      </c>
      <c r="AK173" t="str">
        <f t="shared" si="38"/>
        <v>OK</v>
      </c>
      <c r="AL173" t="str">
        <f t="shared" si="39"/>
        <v>OK</v>
      </c>
      <c r="AM173" t="str">
        <f t="shared" si="40"/>
        <v>ERROR</v>
      </c>
      <c r="AN173" t="str">
        <f t="shared" si="41"/>
        <v>OK</v>
      </c>
      <c r="AO173" t="str">
        <f t="shared" si="42"/>
        <v>OK</v>
      </c>
      <c r="AP173" t="str">
        <f t="shared" si="43"/>
        <v>OK</v>
      </c>
      <c r="AQ173" t="str">
        <f t="shared" si="44"/>
        <v>OK</v>
      </c>
    </row>
    <row r="174" spans="1:43" x14ac:dyDescent="0.3">
      <c r="A174" t="s">
        <v>780</v>
      </c>
      <c r="B174" s="1">
        <v>45609</v>
      </c>
      <c r="C174" t="s">
        <v>781</v>
      </c>
      <c r="D174" t="s">
        <v>39</v>
      </c>
      <c r="E174" t="s">
        <v>782</v>
      </c>
      <c r="F174" t="s">
        <v>54</v>
      </c>
      <c r="G174" t="s">
        <v>783</v>
      </c>
      <c r="H174">
        <v>2499</v>
      </c>
      <c r="I174">
        <v>1</v>
      </c>
      <c r="J174">
        <v>2499</v>
      </c>
      <c r="K174" t="s">
        <v>704</v>
      </c>
      <c r="L174">
        <v>15</v>
      </c>
      <c r="M174" t="s">
        <v>44</v>
      </c>
      <c r="N174" t="s">
        <v>45</v>
      </c>
      <c r="O174" t="s">
        <v>46</v>
      </c>
      <c r="P174" t="s">
        <v>46</v>
      </c>
      <c r="Q174" t="s">
        <v>46</v>
      </c>
      <c r="R174" s="1">
        <v>45622</v>
      </c>
      <c r="S174" t="s">
        <v>34</v>
      </c>
      <c r="T174" t="s">
        <v>47</v>
      </c>
      <c r="U174" t="s">
        <v>48</v>
      </c>
      <c r="V174" s="1">
        <v>45651</v>
      </c>
      <c r="W174" t="s">
        <v>49</v>
      </c>
      <c r="AB174" s="2">
        <f t="shared" si="30"/>
        <v>1</v>
      </c>
      <c r="AC174">
        <f t="shared" si="31"/>
        <v>0</v>
      </c>
      <c r="AD174">
        <f t="shared" si="32"/>
        <v>2</v>
      </c>
      <c r="AE174" t="str">
        <f t="shared" si="33"/>
        <v>OK</v>
      </c>
      <c r="AF174" t="str">
        <f t="shared" si="34"/>
        <v>OK</v>
      </c>
      <c r="AG174" t="str">
        <f t="shared" si="35"/>
        <v>OK</v>
      </c>
      <c r="AI174" t="str">
        <f t="shared" si="36"/>
        <v>ERROR</v>
      </c>
      <c r="AJ174" t="str">
        <f t="shared" si="37"/>
        <v>OK</v>
      </c>
      <c r="AK174" t="str">
        <f t="shared" si="38"/>
        <v>OK</v>
      </c>
      <c r="AL174" t="str">
        <f t="shared" si="39"/>
        <v>OK</v>
      </c>
      <c r="AM174" t="str">
        <f t="shared" si="40"/>
        <v>OK</v>
      </c>
      <c r="AN174" t="str">
        <f t="shared" si="41"/>
        <v>OK</v>
      </c>
      <c r="AO174" t="str">
        <f t="shared" si="42"/>
        <v>OK</v>
      </c>
      <c r="AP174" t="str">
        <f t="shared" si="43"/>
        <v>OK</v>
      </c>
      <c r="AQ174" t="str">
        <f t="shared" si="44"/>
        <v>OK</v>
      </c>
    </row>
    <row r="175" spans="1:43" x14ac:dyDescent="0.3">
      <c r="A175" t="s">
        <v>784</v>
      </c>
      <c r="B175" s="1">
        <v>45609</v>
      </c>
      <c r="C175" t="s">
        <v>785</v>
      </c>
      <c r="D175" t="s">
        <v>25</v>
      </c>
      <c r="E175" t="s">
        <v>786</v>
      </c>
      <c r="F175" t="s">
        <v>62</v>
      </c>
      <c r="G175" t="s">
        <v>787</v>
      </c>
      <c r="H175">
        <v>6299</v>
      </c>
      <c r="I175">
        <v>1</v>
      </c>
      <c r="J175">
        <v>6299</v>
      </c>
      <c r="K175" t="s">
        <v>29</v>
      </c>
      <c r="L175">
        <v>0</v>
      </c>
      <c r="M175" t="s">
        <v>56</v>
      </c>
      <c r="N175" t="s">
        <v>66</v>
      </c>
      <c r="O175" t="s">
        <v>91</v>
      </c>
      <c r="P175" t="s">
        <v>92</v>
      </c>
      <c r="Q175" t="s">
        <v>46</v>
      </c>
      <c r="R175" s="1"/>
      <c r="S175" t="s">
        <v>121</v>
      </c>
      <c r="T175" t="s">
        <v>35</v>
      </c>
      <c r="U175" t="s">
        <v>29</v>
      </c>
      <c r="V175" s="1"/>
      <c r="W175" t="s">
        <v>36</v>
      </c>
      <c r="AB175" s="2">
        <f t="shared" si="30"/>
        <v>1</v>
      </c>
      <c r="AC175">
        <f t="shared" si="31"/>
        <v>0</v>
      </c>
      <c r="AD175">
        <f t="shared" si="32"/>
        <v>2</v>
      </c>
      <c r="AE175" t="str">
        <f t="shared" si="33"/>
        <v>OK</v>
      </c>
      <c r="AF175" t="str">
        <f t="shared" si="34"/>
        <v>OK</v>
      </c>
      <c r="AG175" t="str">
        <f t="shared" si="35"/>
        <v>OK</v>
      </c>
      <c r="AI175" t="str">
        <f t="shared" si="36"/>
        <v>ERROR</v>
      </c>
      <c r="AJ175" t="str">
        <f t="shared" si="37"/>
        <v>ERROR</v>
      </c>
      <c r="AK175" t="str">
        <f t="shared" si="38"/>
        <v>OK</v>
      </c>
      <c r="AL175" t="str">
        <f t="shared" si="39"/>
        <v>OK</v>
      </c>
      <c r="AM175" t="str">
        <f t="shared" si="40"/>
        <v>OK</v>
      </c>
      <c r="AN175" t="str">
        <f t="shared" si="41"/>
        <v>OK</v>
      </c>
      <c r="AO175" t="str">
        <f t="shared" si="42"/>
        <v>OK</v>
      </c>
      <c r="AP175" t="str">
        <f t="shared" si="43"/>
        <v>OK</v>
      </c>
      <c r="AQ175" t="str">
        <f t="shared" si="44"/>
        <v>OK</v>
      </c>
    </row>
    <row r="176" spans="1:43" x14ac:dyDescent="0.3">
      <c r="A176" t="s">
        <v>788</v>
      </c>
      <c r="B176" s="1">
        <v>45610</v>
      </c>
      <c r="C176" t="s">
        <v>789</v>
      </c>
      <c r="D176" t="s">
        <v>25</v>
      </c>
      <c r="E176" t="s">
        <v>790</v>
      </c>
      <c r="F176" t="s">
        <v>72</v>
      </c>
      <c r="G176" t="s">
        <v>791</v>
      </c>
      <c r="H176">
        <v>1599</v>
      </c>
      <c r="I176">
        <v>1</v>
      </c>
      <c r="J176">
        <v>1599</v>
      </c>
      <c r="K176" t="s">
        <v>29</v>
      </c>
      <c r="L176">
        <v>0</v>
      </c>
      <c r="M176" t="s">
        <v>112</v>
      </c>
      <c r="N176" t="s">
        <v>31</v>
      </c>
      <c r="O176" t="s">
        <v>67</v>
      </c>
      <c r="P176" t="s">
        <v>68</v>
      </c>
      <c r="Q176" t="s">
        <v>57</v>
      </c>
      <c r="R176" s="1">
        <v>45623</v>
      </c>
      <c r="S176" t="s">
        <v>34</v>
      </c>
      <c r="T176" t="s">
        <v>47</v>
      </c>
      <c r="U176" t="s">
        <v>139</v>
      </c>
      <c r="V176" s="1">
        <v>45652</v>
      </c>
      <c r="W176" t="s">
        <v>49</v>
      </c>
      <c r="AB176" s="2">
        <f t="shared" si="30"/>
        <v>1</v>
      </c>
      <c r="AC176">
        <f t="shared" si="31"/>
        <v>0</v>
      </c>
      <c r="AD176">
        <f t="shared" si="32"/>
        <v>2</v>
      </c>
      <c r="AE176" t="str">
        <f t="shared" si="33"/>
        <v>OK</v>
      </c>
      <c r="AF176" t="str">
        <f t="shared" si="34"/>
        <v>OK</v>
      </c>
      <c r="AG176" t="str">
        <f t="shared" si="35"/>
        <v>OK</v>
      </c>
      <c r="AI176" t="str">
        <f t="shared" si="36"/>
        <v>ERROR</v>
      </c>
      <c r="AJ176" t="str">
        <f t="shared" si="37"/>
        <v>OK</v>
      </c>
      <c r="AK176" t="str">
        <f t="shared" si="38"/>
        <v>OK</v>
      </c>
      <c r="AL176" t="str">
        <f t="shared" si="39"/>
        <v>OK</v>
      </c>
      <c r="AM176" t="str">
        <f t="shared" si="40"/>
        <v>OK</v>
      </c>
      <c r="AN176" t="str">
        <f t="shared" si="41"/>
        <v>OK</v>
      </c>
      <c r="AO176" t="str">
        <f t="shared" si="42"/>
        <v>OK</v>
      </c>
      <c r="AP176" t="str">
        <f t="shared" si="43"/>
        <v>OK</v>
      </c>
      <c r="AQ176" t="str">
        <f t="shared" si="44"/>
        <v>OK</v>
      </c>
    </row>
    <row r="177" spans="1:43" x14ac:dyDescent="0.3">
      <c r="A177" t="s">
        <v>792</v>
      </c>
      <c r="B177" s="1">
        <v>45610</v>
      </c>
      <c r="C177" t="s">
        <v>793</v>
      </c>
      <c r="D177" t="s">
        <v>25</v>
      </c>
      <c r="E177" t="s">
        <v>794</v>
      </c>
      <c r="F177" t="s">
        <v>27</v>
      </c>
      <c r="G177" t="s">
        <v>795</v>
      </c>
      <c r="H177">
        <v>1699</v>
      </c>
      <c r="I177">
        <v>1</v>
      </c>
      <c r="J177">
        <v>1699</v>
      </c>
      <c r="K177" t="s">
        <v>29</v>
      </c>
      <c r="L177">
        <v>0</v>
      </c>
      <c r="M177" t="s">
        <v>30</v>
      </c>
      <c r="N177" t="s">
        <v>45</v>
      </c>
      <c r="O177" t="s">
        <v>78</v>
      </c>
      <c r="P177" t="s">
        <v>79</v>
      </c>
      <c r="Q177" t="s">
        <v>57</v>
      </c>
      <c r="R177" s="1">
        <v>45624</v>
      </c>
      <c r="S177" t="s">
        <v>34</v>
      </c>
      <c r="T177" t="s">
        <v>35</v>
      </c>
      <c r="U177" t="s">
        <v>29</v>
      </c>
      <c r="V177" s="1"/>
      <c r="W177" t="s">
        <v>36</v>
      </c>
      <c r="AB177" s="2">
        <f t="shared" si="30"/>
        <v>1</v>
      </c>
      <c r="AC177">
        <f t="shared" si="31"/>
        <v>0</v>
      </c>
      <c r="AD177">
        <f t="shared" si="32"/>
        <v>2</v>
      </c>
      <c r="AE177" t="str">
        <f t="shared" si="33"/>
        <v>OK</v>
      </c>
      <c r="AF177" t="str">
        <f t="shared" si="34"/>
        <v>OK</v>
      </c>
      <c r="AG177" t="str">
        <f t="shared" si="35"/>
        <v>OK</v>
      </c>
      <c r="AI177" t="str">
        <f t="shared" si="36"/>
        <v>ERROR</v>
      </c>
      <c r="AJ177" t="str">
        <f t="shared" si="37"/>
        <v>OK</v>
      </c>
      <c r="AK177" t="str">
        <f t="shared" si="38"/>
        <v>OK</v>
      </c>
      <c r="AL177" t="str">
        <f t="shared" si="39"/>
        <v>OK</v>
      </c>
      <c r="AM177" t="str">
        <f t="shared" si="40"/>
        <v>ERROR</v>
      </c>
      <c r="AN177" t="str">
        <f t="shared" si="41"/>
        <v>OK</v>
      </c>
      <c r="AO177" t="str">
        <f t="shared" si="42"/>
        <v>OK</v>
      </c>
      <c r="AP177" t="str">
        <f t="shared" si="43"/>
        <v>OK</v>
      </c>
      <c r="AQ177" t="str">
        <f t="shared" si="44"/>
        <v>OK</v>
      </c>
    </row>
    <row r="178" spans="1:43" x14ac:dyDescent="0.3">
      <c r="A178" t="s">
        <v>796</v>
      </c>
      <c r="B178" s="1">
        <v>45610</v>
      </c>
      <c r="C178" t="s">
        <v>797</v>
      </c>
      <c r="D178" t="s">
        <v>25</v>
      </c>
      <c r="E178" t="s">
        <v>798</v>
      </c>
      <c r="F178" t="s">
        <v>41</v>
      </c>
      <c r="G178" t="s">
        <v>799</v>
      </c>
      <c r="H178">
        <v>3199</v>
      </c>
      <c r="I178">
        <v>1</v>
      </c>
      <c r="J178">
        <v>3199</v>
      </c>
      <c r="K178" t="s">
        <v>704</v>
      </c>
      <c r="L178">
        <v>15</v>
      </c>
      <c r="M178" t="s">
        <v>65</v>
      </c>
      <c r="N178" t="s">
        <v>66</v>
      </c>
      <c r="O178" t="s">
        <v>85</v>
      </c>
      <c r="P178" t="s">
        <v>33</v>
      </c>
      <c r="Q178" t="s">
        <v>32</v>
      </c>
      <c r="R178" s="1">
        <v>45625</v>
      </c>
      <c r="S178" t="s">
        <v>34</v>
      </c>
      <c r="T178" t="s">
        <v>47</v>
      </c>
      <c r="U178" t="s">
        <v>48</v>
      </c>
      <c r="V178" s="1">
        <v>45654</v>
      </c>
      <c r="W178" t="s">
        <v>49</v>
      </c>
      <c r="AB178" s="2">
        <f t="shared" si="30"/>
        <v>1</v>
      </c>
      <c r="AC178">
        <f t="shared" si="31"/>
        <v>0</v>
      </c>
      <c r="AD178">
        <f t="shared" si="32"/>
        <v>2</v>
      </c>
      <c r="AE178" t="str">
        <f t="shared" si="33"/>
        <v>OK</v>
      </c>
      <c r="AF178" t="str">
        <f t="shared" si="34"/>
        <v>OK</v>
      </c>
      <c r="AG178" t="str">
        <f t="shared" si="35"/>
        <v>OK</v>
      </c>
      <c r="AI178" t="str">
        <f t="shared" si="36"/>
        <v>ERROR</v>
      </c>
      <c r="AJ178" t="str">
        <f t="shared" si="37"/>
        <v>OK</v>
      </c>
      <c r="AK178" t="str">
        <f t="shared" si="38"/>
        <v>OK</v>
      </c>
      <c r="AL178" t="str">
        <f t="shared" si="39"/>
        <v>OK</v>
      </c>
      <c r="AM178" t="str">
        <f t="shared" si="40"/>
        <v>OK</v>
      </c>
      <c r="AN178" t="str">
        <f t="shared" si="41"/>
        <v>OK</v>
      </c>
      <c r="AO178" t="str">
        <f t="shared" si="42"/>
        <v>OK</v>
      </c>
      <c r="AP178" t="str">
        <f t="shared" si="43"/>
        <v>OK</v>
      </c>
      <c r="AQ178" t="str">
        <f t="shared" si="44"/>
        <v>OK</v>
      </c>
    </row>
    <row r="179" spans="1:43" x14ac:dyDescent="0.3">
      <c r="A179" t="s">
        <v>800</v>
      </c>
      <c r="B179" s="1">
        <v>45611</v>
      </c>
      <c r="C179" t="s">
        <v>801</v>
      </c>
      <c r="D179" t="s">
        <v>39</v>
      </c>
      <c r="E179" t="s">
        <v>802</v>
      </c>
      <c r="F179" t="s">
        <v>54</v>
      </c>
      <c r="G179" t="s">
        <v>803</v>
      </c>
      <c r="H179">
        <v>2099</v>
      </c>
      <c r="I179">
        <v>1</v>
      </c>
      <c r="J179">
        <v>2099</v>
      </c>
      <c r="K179" t="s">
        <v>29</v>
      </c>
      <c r="L179">
        <v>0</v>
      </c>
      <c r="M179" t="s">
        <v>44</v>
      </c>
      <c r="N179" t="s">
        <v>31</v>
      </c>
      <c r="O179" t="s">
        <v>97</v>
      </c>
      <c r="P179" t="s">
        <v>98</v>
      </c>
      <c r="Q179" t="s">
        <v>32</v>
      </c>
      <c r="R179" s="1">
        <v>45624</v>
      </c>
      <c r="S179" t="s">
        <v>34</v>
      </c>
      <c r="T179" t="s">
        <v>35</v>
      </c>
      <c r="U179" t="s">
        <v>29</v>
      </c>
      <c r="V179" s="1"/>
      <c r="W179" t="s">
        <v>36</v>
      </c>
      <c r="AB179" s="2">
        <f t="shared" si="30"/>
        <v>1</v>
      </c>
      <c r="AC179">
        <f t="shared" si="31"/>
        <v>0</v>
      </c>
      <c r="AD179">
        <f t="shared" si="32"/>
        <v>2</v>
      </c>
      <c r="AE179" t="str">
        <f t="shared" si="33"/>
        <v>OK</v>
      </c>
      <c r="AF179" t="str">
        <f t="shared" si="34"/>
        <v>OK</v>
      </c>
      <c r="AG179" t="str">
        <f t="shared" si="35"/>
        <v>OK</v>
      </c>
      <c r="AI179" t="str">
        <f t="shared" si="36"/>
        <v>ERROR</v>
      </c>
      <c r="AJ179" t="str">
        <f t="shared" si="37"/>
        <v>OK</v>
      </c>
      <c r="AK179" t="str">
        <f t="shared" si="38"/>
        <v>OK</v>
      </c>
      <c r="AL179" t="str">
        <f t="shared" si="39"/>
        <v>OK</v>
      </c>
      <c r="AM179" t="str">
        <f t="shared" si="40"/>
        <v>ERROR</v>
      </c>
      <c r="AN179" t="str">
        <f t="shared" si="41"/>
        <v>OK</v>
      </c>
      <c r="AO179" t="str">
        <f t="shared" si="42"/>
        <v>OK</v>
      </c>
      <c r="AP179" t="str">
        <f t="shared" si="43"/>
        <v>OK</v>
      </c>
      <c r="AQ179" t="str">
        <f t="shared" si="44"/>
        <v>OK</v>
      </c>
    </row>
    <row r="180" spans="1:43" x14ac:dyDescent="0.3">
      <c r="A180" t="s">
        <v>804</v>
      </c>
      <c r="B180" s="1">
        <v>45611</v>
      </c>
      <c r="C180" t="s">
        <v>805</v>
      </c>
      <c r="D180" t="s">
        <v>25</v>
      </c>
      <c r="E180" t="s">
        <v>806</v>
      </c>
      <c r="F180" t="s">
        <v>62</v>
      </c>
      <c r="G180" t="s">
        <v>807</v>
      </c>
      <c r="H180">
        <v>6999</v>
      </c>
      <c r="I180">
        <v>1</v>
      </c>
      <c r="J180">
        <v>6999</v>
      </c>
      <c r="K180" t="s">
        <v>29</v>
      </c>
      <c r="L180">
        <v>0</v>
      </c>
      <c r="M180" t="s">
        <v>30</v>
      </c>
      <c r="N180" t="s">
        <v>45</v>
      </c>
      <c r="O180" t="s">
        <v>103</v>
      </c>
      <c r="P180" t="s">
        <v>104</v>
      </c>
      <c r="Q180" t="s">
        <v>46</v>
      </c>
      <c r="R180" s="1">
        <v>45626</v>
      </c>
      <c r="S180" t="s">
        <v>34</v>
      </c>
      <c r="T180" t="s">
        <v>47</v>
      </c>
      <c r="U180" t="s">
        <v>105</v>
      </c>
      <c r="V180" s="1">
        <v>45655</v>
      </c>
      <c r="W180" t="s">
        <v>49</v>
      </c>
      <c r="AB180" s="2">
        <f t="shared" si="30"/>
        <v>1</v>
      </c>
      <c r="AC180">
        <f t="shared" si="31"/>
        <v>0</v>
      </c>
      <c r="AD180">
        <f t="shared" si="32"/>
        <v>2</v>
      </c>
      <c r="AE180" t="str">
        <f t="shared" si="33"/>
        <v>OK</v>
      </c>
      <c r="AF180" t="str">
        <f t="shared" si="34"/>
        <v>OK</v>
      </c>
      <c r="AG180" t="str">
        <f t="shared" si="35"/>
        <v>OK</v>
      </c>
      <c r="AI180" t="str">
        <f t="shared" si="36"/>
        <v>ERROR</v>
      </c>
      <c r="AJ180" t="str">
        <f t="shared" si="37"/>
        <v>OK</v>
      </c>
      <c r="AK180" t="str">
        <f t="shared" si="38"/>
        <v>OK</v>
      </c>
      <c r="AL180" t="str">
        <f t="shared" si="39"/>
        <v>OK</v>
      </c>
      <c r="AM180" t="str">
        <f t="shared" si="40"/>
        <v>OK</v>
      </c>
      <c r="AN180" t="str">
        <f t="shared" si="41"/>
        <v>OK</v>
      </c>
      <c r="AO180" t="str">
        <f t="shared" si="42"/>
        <v>OK</v>
      </c>
      <c r="AP180" t="str">
        <f t="shared" si="43"/>
        <v>OK</v>
      </c>
      <c r="AQ180" t="str">
        <f t="shared" si="44"/>
        <v>OK</v>
      </c>
    </row>
    <row r="181" spans="1:43" x14ac:dyDescent="0.3">
      <c r="A181" t="s">
        <v>808</v>
      </c>
      <c r="B181" s="1">
        <v>45611</v>
      </c>
      <c r="C181" t="s">
        <v>809</v>
      </c>
      <c r="D181" t="s">
        <v>25</v>
      </c>
      <c r="E181" t="s">
        <v>810</v>
      </c>
      <c r="F181" t="s">
        <v>72</v>
      </c>
      <c r="G181" t="s">
        <v>811</v>
      </c>
      <c r="H181">
        <v>899</v>
      </c>
      <c r="I181">
        <v>1</v>
      </c>
      <c r="J181">
        <v>899</v>
      </c>
      <c r="K181" t="s">
        <v>29</v>
      </c>
      <c r="L181">
        <v>0</v>
      </c>
      <c r="M181" t="s">
        <v>56</v>
      </c>
      <c r="N181" t="s">
        <v>66</v>
      </c>
      <c r="O181" t="s">
        <v>113</v>
      </c>
      <c r="P181" t="s">
        <v>114</v>
      </c>
      <c r="Q181" t="s">
        <v>46</v>
      </c>
      <c r="R181" s="1">
        <v>45624</v>
      </c>
      <c r="S181" t="s">
        <v>34</v>
      </c>
      <c r="T181" t="s">
        <v>47</v>
      </c>
      <c r="U181" t="s">
        <v>80</v>
      </c>
      <c r="V181" s="1">
        <v>45653</v>
      </c>
      <c r="W181" t="s">
        <v>49</v>
      </c>
      <c r="AB181" s="2">
        <f t="shared" si="30"/>
        <v>1</v>
      </c>
      <c r="AC181">
        <f t="shared" si="31"/>
        <v>0</v>
      </c>
      <c r="AD181">
        <f t="shared" si="32"/>
        <v>2</v>
      </c>
      <c r="AE181" t="str">
        <f t="shared" si="33"/>
        <v>OK</v>
      </c>
      <c r="AF181" t="str">
        <f t="shared" si="34"/>
        <v>OK</v>
      </c>
      <c r="AG181" t="str">
        <f t="shared" si="35"/>
        <v>OK</v>
      </c>
      <c r="AI181" t="str">
        <f t="shared" si="36"/>
        <v>ERROR</v>
      </c>
      <c r="AJ181" t="str">
        <f t="shared" si="37"/>
        <v>OK</v>
      </c>
      <c r="AK181" t="str">
        <f t="shared" si="38"/>
        <v>OK</v>
      </c>
      <c r="AL181" t="str">
        <f t="shared" si="39"/>
        <v>OK</v>
      </c>
      <c r="AM181" t="str">
        <f t="shared" si="40"/>
        <v>OK</v>
      </c>
      <c r="AN181" t="str">
        <f t="shared" si="41"/>
        <v>OK</v>
      </c>
      <c r="AO181" t="str">
        <f t="shared" si="42"/>
        <v>OK</v>
      </c>
      <c r="AP181" t="str">
        <f t="shared" si="43"/>
        <v>OK</v>
      </c>
      <c r="AQ181" t="str">
        <f t="shared" si="44"/>
        <v>OK</v>
      </c>
    </row>
    <row r="182" spans="1:43" x14ac:dyDescent="0.3">
      <c r="A182" t="s">
        <v>812</v>
      </c>
      <c r="B182" s="1">
        <v>45612</v>
      </c>
      <c r="C182" t="s">
        <v>813</v>
      </c>
      <c r="D182" t="s">
        <v>25</v>
      </c>
      <c r="E182" t="s">
        <v>814</v>
      </c>
      <c r="F182" t="s">
        <v>27</v>
      </c>
      <c r="G182" t="s">
        <v>815</v>
      </c>
      <c r="H182">
        <v>1499</v>
      </c>
      <c r="I182">
        <v>1</v>
      </c>
      <c r="J182">
        <v>1499</v>
      </c>
      <c r="K182" t="s">
        <v>704</v>
      </c>
      <c r="L182">
        <v>15</v>
      </c>
      <c r="M182" t="s">
        <v>112</v>
      </c>
      <c r="N182" t="s">
        <v>31</v>
      </c>
      <c r="O182" t="s">
        <v>57</v>
      </c>
      <c r="P182" t="s">
        <v>58</v>
      </c>
      <c r="Q182" t="s">
        <v>57</v>
      </c>
      <c r="R182" s="1">
        <v>45625</v>
      </c>
      <c r="S182" t="s">
        <v>34</v>
      </c>
      <c r="T182" t="s">
        <v>35</v>
      </c>
      <c r="U182" t="s">
        <v>29</v>
      </c>
      <c r="V182" s="1"/>
      <c r="W182" t="s">
        <v>36</v>
      </c>
      <c r="AB182" s="2">
        <f t="shared" si="30"/>
        <v>1</v>
      </c>
      <c r="AC182">
        <f t="shared" si="31"/>
        <v>0</v>
      </c>
      <c r="AD182">
        <f t="shared" si="32"/>
        <v>2</v>
      </c>
      <c r="AE182" t="str">
        <f t="shared" si="33"/>
        <v>OK</v>
      </c>
      <c r="AF182" t="str">
        <f t="shared" si="34"/>
        <v>OK</v>
      </c>
      <c r="AG182" t="str">
        <f t="shared" si="35"/>
        <v>OK</v>
      </c>
      <c r="AI182" t="str">
        <f t="shared" si="36"/>
        <v>ERROR</v>
      </c>
      <c r="AJ182" t="str">
        <f t="shared" si="37"/>
        <v>OK</v>
      </c>
      <c r="AK182" t="str">
        <f t="shared" si="38"/>
        <v>OK</v>
      </c>
      <c r="AL182" t="str">
        <f t="shared" si="39"/>
        <v>OK</v>
      </c>
      <c r="AM182" t="str">
        <f t="shared" si="40"/>
        <v>ERROR</v>
      </c>
      <c r="AN182" t="str">
        <f t="shared" si="41"/>
        <v>OK</v>
      </c>
      <c r="AO182" t="str">
        <f t="shared" si="42"/>
        <v>OK</v>
      </c>
      <c r="AP182" t="str">
        <f t="shared" si="43"/>
        <v>OK</v>
      </c>
      <c r="AQ182" t="str">
        <f t="shared" si="44"/>
        <v>OK</v>
      </c>
    </row>
    <row r="183" spans="1:43" x14ac:dyDescent="0.3">
      <c r="A183" t="s">
        <v>816</v>
      </c>
      <c r="B183" s="1">
        <v>45612</v>
      </c>
      <c r="C183" t="s">
        <v>817</v>
      </c>
      <c r="D183" t="s">
        <v>25</v>
      </c>
      <c r="E183" t="s">
        <v>818</v>
      </c>
      <c r="F183" t="s">
        <v>41</v>
      </c>
      <c r="G183" t="s">
        <v>819</v>
      </c>
      <c r="H183">
        <v>2999</v>
      </c>
      <c r="I183">
        <v>1</v>
      </c>
      <c r="J183">
        <v>2999</v>
      </c>
      <c r="K183" t="s">
        <v>29</v>
      </c>
      <c r="L183">
        <v>0</v>
      </c>
      <c r="M183" t="s">
        <v>65</v>
      </c>
      <c r="N183" t="s">
        <v>45</v>
      </c>
      <c r="O183" t="s">
        <v>32</v>
      </c>
      <c r="P183" t="s">
        <v>33</v>
      </c>
      <c r="Q183" t="s">
        <v>32</v>
      </c>
      <c r="R183" s="1">
        <v>45627</v>
      </c>
      <c r="S183" t="s">
        <v>34</v>
      </c>
      <c r="T183" t="s">
        <v>47</v>
      </c>
      <c r="U183" t="s">
        <v>69</v>
      </c>
      <c r="V183" s="1">
        <v>45656</v>
      </c>
      <c r="W183" t="s">
        <v>49</v>
      </c>
      <c r="AB183" s="2">
        <f t="shared" si="30"/>
        <v>1</v>
      </c>
      <c r="AC183">
        <f t="shared" si="31"/>
        <v>0</v>
      </c>
      <c r="AD183">
        <f t="shared" si="32"/>
        <v>2</v>
      </c>
      <c r="AE183" t="str">
        <f t="shared" si="33"/>
        <v>OK</v>
      </c>
      <c r="AF183" t="str">
        <f t="shared" si="34"/>
        <v>OK</v>
      </c>
      <c r="AG183" t="str">
        <f t="shared" si="35"/>
        <v>OK</v>
      </c>
      <c r="AI183" t="str">
        <f t="shared" si="36"/>
        <v>ERROR</v>
      </c>
      <c r="AJ183" t="str">
        <f t="shared" si="37"/>
        <v>OK</v>
      </c>
      <c r="AK183" t="str">
        <f t="shared" si="38"/>
        <v>OK</v>
      </c>
      <c r="AL183" t="str">
        <f t="shared" si="39"/>
        <v>OK</v>
      </c>
      <c r="AM183" t="str">
        <f t="shared" si="40"/>
        <v>OK</v>
      </c>
      <c r="AN183" t="str">
        <f t="shared" si="41"/>
        <v>OK</v>
      </c>
      <c r="AO183" t="str">
        <f t="shared" si="42"/>
        <v>OK</v>
      </c>
      <c r="AP183" t="str">
        <f t="shared" si="43"/>
        <v>OK</v>
      </c>
      <c r="AQ183" t="str">
        <f t="shared" si="44"/>
        <v>OK</v>
      </c>
    </row>
    <row r="184" spans="1:43" x14ac:dyDescent="0.3">
      <c r="A184" t="s">
        <v>820</v>
      </c>
      <c r="B184" s="1">
        <v>45612</v>
      </c>
      <c r="C184" t="s">
        <v>821</v>
      </c>
      <c r="D184" t="s">
        <v>39</v>
      </c>
      <c r="E184" t="s">
        <v>822</v>
      </c>
      <c r="F184" t="s">
        <v>54</v>
      </c>
      <c r="G184" t="s">
        <v>823</v>
      </c>
      <c r="H184">
        <v>1899</v>
      </c>
      <c r="I184">
        <v>1</v>
      </c>
      <c r="J184">
        <v>1899</v>
      </c>
      <c r="K184" t="s">
        <v>29</v>
      </c>
      <c r="L184">
        <v>0</v>
      </c>
      <c r="M184" t="s">
        <v>44</v>
      </c>
      <c r="N184" t="s">
        <v>66</v>
      </c>
      <c r="O184" t="s">
        <v>46</v>
      </c>
      <c r="P184" t="s">
        <v>46</v>
      </c>
      <c r="Q184" t="s">
        <v>46</v>
      </c>
      <c r="R184" s="1">
        <v>45625</v>
      </c>
      <c r="S184" t="s">
        <v>34</v>
      </c>
      <c r="T184" t="s">
        <v>35</v>
      </c>
      <c r="U184" t="s">
        <v>29</v>
      </c>
      <c r="V184" s="1"/>
      <c r="W184" t="s">
        <v>36</v>
      </c>
      <c r="AB184" s="2">
        <f t="shared" si="30"/>
        <v>1</v>
      </c>
      <c r="AC184">
        <f t="shared" si="31"/>
        <v>0</v>
      </c>
      <c r="AD184">
        <f t="shared" si="32"/>
        <v>2</v>
      </c>
      <c r="AE184" t="str">
        <f t="shared" si="33"/>
        <v>OK</v>
      </c>
      <c r="AF184" t="str">
        <f t="shared" si="34"/>
        <v>OK</v>
      </c>
      <c r="AG184" t="str">
        <f t="shared" si="35"/>
        <v>OK</v>
      </c>
      <c r="AI184" t="str">
        <f t="shared" si="36"/>
        <v>ERROR</v>
      </c>
      <c r="AJ184" t="str">
        <f t="shared" si="37"/>
        <v>OK</v>
      </c>
      <c r="AK184" t="str">
        <f t="shared" si="38"/>
        <v>OK</v>
      </c>
      <c r="AL184" t="str">
        <f t="shared" si="39"/>
        <v>OK</v>
      </c>
      <c r="AM184" t="str">
        <f t="shared" si="40"/>
        <v>ERROR</v>
      </c>
      <c r="AN184" t="str">
        <f t="shared" si="41"/>
        <v>OK</v>
      </c>
      <c r="AO184" t="str">
        <f t="shared" si="42"/>
        <v>OK</v>
      </c>
      <c r="AP184" t="str">
        <f t="shared" si="43"/>
        <v>OK</v>
      </c>
      <c r="AQ184" t="str">
        <f t="shared" si="44"/>
        <v>OK</v>
      </c>
    </row>
    <row r="185" spans="1:43" x14ac:dyDescent="0.3">
      <c r="A185" t="s">
        <v>824</v>
      </c>
      <c r="B185" s="1">
        <v>45613</v>
      </c>
      <c r="C185" t="s">
        <v>825</v>
      </c>
      <c r="D185" t="s">
        <v>25</v>
      </c>
      <c r="E185" t="s">
        <v>826</v>
      </c>
      <c r="F185" t="s">
        <v>62</v>
      </c>
      <c r="G185" t="s">
        <v>827</v>
      </c>
      <c r="H185">
        <v>7499</v>
      </c>
      <c r="I185">
        <v>1</v>
      </c>
      <c r="J185">
        <v>7499</v>
      </c>
      <c r="K185" t="s">
        <v>29</v>
      </c>
      <c r="L185">
        <v>0</v>
      </c>
      <c r="M185" t="s">
        <v>30</v>
      </c>
      <c r="N185" t="s">
        <v>31</v>
      </c>
      <c r="O185" t="s">
        <v>119</v>
      </c>
      <c r="P185" t="s">
        <v>120</v>
      </c>
      <c r="Q185" t="s">
        <v>46</v>
      </c>
      <c r="R185" s="1">
        <v>45628</v>
      </c>
      <c r="S185" t="s">
        <v>34</v>
      </c>
      <c r="T185" t="s">
        <v>47</v>
      </c>
      <c r="U185" t="s">
        <v>48</v>
      </c>
      <c r="V185" s="1">
        <v>45657</v>
      </c>
      <c r="W185" t="s">
        <v>49</v>
      </c>
      <c r="AB185" s="2">
        <f t="shared" si="30"/>
        <v>1</v>
      </c>
      <c r="AC185">
        <f t="shared" si="31"/>
        <v>0</v>
      </c>
      <c r="AD185">
        <f t="shared" si="32"/>
        <v>2</v>
      </c>
      <c r="AE185" t="str">
        <f t="shared" si="33"/>
        <v>OK</v>
      </c>
      <c r="AF185" t="str">
        <f t="shared" si="34"/>
        <v>OK</v>
      </c>
      <c r="AG185" t="str">
        <f t="shared" si="35"/>
        <v>OK</v>
      </c>
      <c r="AI185" t="str">
        <f t="shared" si="36"/>
        <v>ERROR</v>
      </c>
      <c r="AJ185" t="str">
        <f t="shared" si="37"/>
        <v>OK</v>
      </c>
      <c r="AK185" t="str">
        <f t="shared" si="38"/>
        <v>OK</v>
      </c>
      <c r="AL185" t="str">
        <f t="shared" si="39"/>
        <v>OK</v>
      </c>
      <c r="AM185" t="str">
        <f t="shared" si="40"/>
        <v>OK</v>
      </c>
      <c r="AN185" t="str">
        <f t="shared" si="41"/>
        <v>OK</v>
      </c>
      <c r="AO185" t="str">
        <f t="shared" si="42"/>
        <v>OK</v>
      </c>
      <c r="AP185" t="str">
        <f t="shared" si="43"/>
        <v>OK</v>
      </c>
      <c r="AQ185" t="str">
        <f t="shared" si="44"/>
        <v>OK</v>
      </c>
    </row>
    <row r="186" spans="1:43" x14ac:dyDescent="0.3">
      <c r="A186" t="s">
        <v>828</v>
      </c>
      <c r="B186" s="1">
        <v>45613</v>
      </c>
      <c r="C186" t="s">
        <v>829</v>
      </c>
      <c r="D186" t="s">
        <v>25</v>
      </c>
      <c r="E186" t="s">
        <v>830</v>
      </c>
      <c r="F186" t="s">
        <v>72</v>
      </c>
      <c r="G186" t="s">
        <v>831</v>
      </c>
      <c r="H186">
        <v>1299</v>
      </c>
      <c r="I186">
        <v>1</v>
      </c>
      <c r="J186">
        <v>1299</v>
      </c>
      <c r="K186" t="s">
        <v>704</v>
      </c>
      <c r="L186">
        <v>15</v>
      </c>
      <c r="M186" t="s">
        <v>56</v>
      </c>
      <c r="N186" t="s">
        <v>45</v>
      </c>
      <c r="O186" t="s">
        <v>138</v>
      </c>
      <c r="P186" t="s">
        <v>114</v>
      </c>
      <c r="Q186" t="s">
        <v>46</v>
      </c>
      <c r="R186" s="1">
        <v>45626</v>
      </c>
      <c r="S186" t="s">
        <v>34</v>
      </c>
      <c r="T186" t="s">
        <v>35</v>
      </c>
      <c r="U186" t="s">
        <v>29</v>
      </c>
      <c r="V186" s="1"/>
      <c r="W186" t="s">
        <v>36</v>
      </c>
      <c r="AB186" s="2">
        <f t="shared" si="30"/>
        <v>1</v>
      </c>
      <c r="AC186">
        <f t="shared" si="31"/>
        <v>0</v>
      </c>
      <c r="AD186">
        <f t="shared" si="32"/>
        <v>2</v>
      </c>
      <c r="AE186" t="str">
        <f t="shared" si="33"/>
        <v>OK</v>
      </c>
      <c r="AF186" t="str">
        <f t="shared" si="34"/>
        <v>OK</v>
      </c>
      <c r="AG186" t="str">
        <f t="shared" si="35"/>
        <v>OK</v>
      </c>
      <c r="AI186" t="str">
        <f t="shared" si="36"/>
        <v>ERROR</v>
      </c>
      <c r="AJ186" t="str">
        <f t="shared" si="37"/>
        <v>OK</v>
      </c>
      <c r="AK186" t="str">
        <f t="shared" si="38"/>
        <v>OK</v>
      </c>
      <c r="AL186" t="str">
        <f t="shared" si="39"/>
        <v>OK</v>
      </c>
      <c r="AM186" t="str">
        <f t="shared" si="40"/>
        <v>ERROR</v>
      </c>
      <c r="AN186" t="str">
        <f t="shared" si="41"/>
        <v>OK</v>
      </c>
      <c r="AO186" t="str">
        <f t="shared" si="42"/>
        <v>OK</v>
      </c>
      <c r="AP186" t="str">
        <f t="shared" si="43"/>
        <v>OK</v>
      </c>
      <c r="AQ186" t="str">
        <f t="shared" si="44"/>
        <v>OK</v>
      </c>
    </row>
    <row r="187" spans="1:43" x14ac:dyDescent="0.3">
      <c r="A187" t="s">
        <v>832</v>
      </c>
      <c r="B187" s="1">
        <v>45613</v>
      </c>
      <c r="C187" t="s">
        <v>833</v>
      </c>
      <c r="D187" t="s">
        <v>25</v>
      </c>
      <c r="E187" t="s">
        <v>834</v>
      </c>
      <c r="F187" t="s">
        <v>27</v>
      </c>
      <c r="G187" t="s">
        <v>835</v>
      </c>
      <c r="H187">
        <v>1599</v>
      </c>
      <c r="I187">
        <v>1</v>
      </c>
      <c r="J187">
        <v>1599</v>
      </c>
      <c r="K187" t="s">
        <v>29</v>
      </c>
      <c r="L187">
        <v>0</v>
      </c>
      <c r="M187" t="s">
        <v>44</v>
      </c>
      <c r="N187" t="s">
        <v>66</v>
      </c>
      <c r="O187" t="s">
        <v>144</v>
      </c>
      <c r="P187" t="s">
        <v>145</v>
      </c>
      <c r="Q187" t="s">
        <v>46</v>
      </c>
      <c r="R187" s="1">
        <v>45627</v>
      </c>
      <c r="S187" t="s">
        <v>34</v>
      </c>
      <c r="T187" t="s">
        <v>47</v>
      </c>
      <c r="U187" t="s">
        <v>139</v>
      </c>
      <c r="V187" s="1">
        <v>45655</v>
      </c>
      <c r="W187" t="s">
        <v>49</v>
      </c>
      <c r="AB187" s="2">
        <f t="shared" si="30"/>
        <v>1</v>
      </c>
      <c r="AC187">
        <f t="shared" si="31"/>
        <v>0</v>
      </c>
      <c r="AD187">
        <f t="shared" si="32"/>
        <v>2</v>
      </c>
      <c r="AE187" t="str">
        <f t="shared" si="33"/>
        <v>OK</v>
      </c>
      <c r="AF187" t="str">
        <f t="shared" si="34"/>
        <v>OK</v>
      </c>
      <c r="AG187" t="str">
        <f t="shared" si="35"/>
        <v>OK</v>
      </c>
      <c r="AI187" t="str">
        <f t="shared" si="36"/>
        <v>ERROR</v>
      </c>
      <c r="AJ187" t="str">
        <f t="shared" si="37"/>
        <v>OK</v>
      </c>
      <c r="AK187" t="str">
        <f t="shared" si="38"/>
        <v>OK</v>
      </c>
      <c r="AL187" t="str">
        <f t="shared" si="39"/>
        <v>OK</v>
      </c>
      <c r="AM187" t="str">
        <f t="shared" si="40"/>
        <v>OK</v>
      </c>
      <c r="AN187" t="str">
        <f t="shared" si="41"/>
        <v>OK</v>
      </c>
      <c r="AO187" t="str">
        <f t="shared" si="42"/>
        <v>OK</v>
      </c>
      <c r="AP187" t="str">
        <f t="shared" si="43"/>
        <v>OK</v>
      </c>
      <c r="AQ187" t="str">
        <f t="shared" si="44"/>
        <v>OK</v>
      </c>
    </row>
    <row r="188" spans="1:43" x14ac:dyDescent="0.3">
      <c r="A188" t="s">
        <v>836</v>
      </c>
      <c r="B188" s="1">
        <v>45614</v>
      </c>
      <c r="C188" t="s">
        <v>837</v>
      </c>
      <c r="D188" t="s">
        <v>25</v>
      </c>
      <c r="E188" t="s">
        <v>838</v>
      </c>
      <c r="F188" t="s">
        <v>41</v>
      </c>
      <c r="G188" t="s">
        <v>839</v>
      </c>
      <c r="H188">
        <v>3799</v>
      </c>
      <c r="I188">
        <v>1</v>
      </c>
      <c r="J188">
        <v>3799</v>
      </c>
      <c r="K188" t="s">
        <v>29</v>
      </c>
      <c r="L188">
        <v>0</v>
      </c>
      <c r="M188" t="s">
        <v>112</v>
      </c>
      <c r="N188" t="s">
        <v>31</v>
      </c>
      <c r="O188" t="s">
        <v>151</v>
      </c>
      <c r="P188" t="s">
        <v>152</v>
      </c>
      <c r="Q188" t="s">
        <v>32</v>
      </c>
      <c r="R188" s="1">
        <v>45629</v>
      </c>
      <c r="S188" t="s">
        <v>34</v>
      </c>
      <c r="T188" t="s">
        <v>35</v>
      </c>
      <c r="U188" t="s">
        <v>29</v>
      </c>
      <c r="V188" s="1"/>
      <c r="W188" t="s">
        <v>36</v>
      </c>
      <c r="AB188" s="2">
        <f t="shared" si="30"/>
        <v>1</v>
      </c>
      <c r="AC188">
        <f t="shared" si="31"/>
        <v>0</v>
      </c>
      <c r="AD188">
        <f t="shared" si="32"/>
        <v>2</v>
      </c>
      <c r="AE188" t="str">
        <f t="shared" si="33"/>
        <v>OK</v>
      </c>
      <c r="AF188" t="str">
        <f t="shared" si="34"/>
        <v>OK</v>
      </c>
      <c r="AG188" t="str">
        <f t="shared" si="35"/>
        <v>OK</v>
      </c>
      <c r="AI188" t="str">
        <f t="shared" si="36"/>
        <v>ERROR</v>
      </c>
      <c r="AJ188" t="str">
        <f t="shared" si="37"/>
        <v>OK</v>
      </c>
      <c r="AK188" t="str">
        <f t="shared" si="38"/>
        <v>OK</v>
      </c>
      <c r="AL188" t="str">
        <f t="shared" si="39"/>
        <v>OK</v>
      </c>
      <c r="AM188" t="str">
        <f t="shared" si="40"/>
        <v>ERROR</v>
      </c>
      <c r="AN188" t="str">
        <f t="shared" si="41"/>
        <v>OK</v>
      </c>
      <c r="AO188" t="str">
        <f t="shared" si="42"/>
        <v>OK</v>
      </c>
      <c r="AP188" t="str">
        <f t="shared" si="43"/>
        <v>OK</v>
      </c>
      <c r="AQ188" t="str">
        <f t="shared" si="44"/>
        <v>OK</v>
      </c>
    </row>
    <row r="189" spans="1:43" x14ac:dyDescent="0.3">
      <c r="A189" t="s">
        <v>840</v>
      </c>
      <c r="B189" s="1">
        <v>45614</v>
      </c>
      <c r="C189" t="s">
        <v>841</v>
      </c>
      <c r="D189" t="s">
        <v>39</v>
      </c>
      <c r="E189" t="s">
        <v>842</v>
      </c>
      <c r="F189" t="s">
        <v>54</v>
      </c>
      <c r="G189" t="s">
        <v>843</v>
      </c>
      <c r="H189">
        <v>2299</v>
      </c>
      <c r="I189">
        <v>1</v>
      </c>
      <c r="J189">
        <v>2299</v>
      </c>
      <c r="K189" t="s">
        <v>29</v>
      </c>
      <c r="L189">
        <v>0</v>
      </c>
      <c r="M189" t="s">
        <v>30</v>
      </c>
      <c r="N189" t="s">
        <v>45</v>
      </c>
      <c r="O189" t="s">
        <v>157</v>
      </c>
      <c r="P189" t="s">
        <v>98</v>
      </c>
      <c r="Q189" t="s">
        <v>32</v>
      </c>
      <c r="R189" s="1">
        <v>45627</v>
      </c>
      <c r="S189" t="s">
        <v>34</v>
      </c>
      <c r="T189" t="s">
        <v>47</v>
      </c>
      <c r="U189" t="s">
        <v>48</v>
      </c>
      <c r="V189" s="1">
        <v>45656</v>
      </c>
      <c r="W189" t="s">
        <v>49</v>
      </c>
      <c r="AB189" s="2">
        <f t="shared" si="30"/>
        <v>1</v>
      </c>
      <c r="AC189">
        <f t="shared" si="31"/>
        <v>0</v>
      </c>
      <c r="AD189">
        <f t="shared" si="32"/>
        <v>2</v>
      </c>
      <c r="AE189" t="str">
        <f t="shared" si="33"/>
        <v>OK</v>
      </c>
      <c r="AF189" t="str">
        <f t="shared" si="34"/>
        <v>OK</v>
      </c>
      <c r="AG189" t="str">
        <f t="shared" si="35"/>
        <v>OK</v>
      </c>
      <c r="AI189" t="str">
        <f t="shared" si="36"/>
        <v>ERROR</v>
      </c>
      <c r="AJ189" t="str">
        <f t="shared" si="37"/>
        <v>OK</v>
      </c>
      <c r="AK189" t="str">
        <f t="shared" si="38"/>
        <v>OK</v>
      </c>
      <c r="AL189" t="str">
        <f t="shared" si="39"/>
        <v>OK</v>
      </c>
      <c r="AM189" t="str">
        <f t="shared" si="40"/>
        <v>OK</v>
      </c>
      <c r="AN189" t="str">
        <f t="shared" si="41"/>
        <v>OK</v>
      </c>
      <c r="AO189" t="str">
        <f t="shared" si="42"/>
        <v>OK</v>
      </c>
      <c r="AP189" t="str">
        <f t="shared" si="43"/>
        <v>OK</v>
      </c>
      <c r="AQ189" t="str">
        <f t="shared" si="44"/>
        <v>OK</v>
      </c>
    </row>
    <row r="190" spans="1:43" x14ac:dyDescent="0.3">
      <c r="A190" t="s">
        <v>844</v>
      </c>
      <c r="B190" s="1">
        <v>45614</v>
      </c>
      <c r="C190" t="s">
        <v>845</v>
      </c>
      <c r="D190" t="s">
        <v>25</v>
      </c>
      <c r="E190" t="s">
        <v>846</v>
      </c>
      <c r="F190" t="s">
        <v>62</v>
      </c>
      <c r="G190" t="s">
        <v>847</v>
      </c>
      <c r="H190">
        <v>5999</v>
      </c>
      <c r="I190">
        <v>1</v>
      </c>
      <c r="J190">
        <v>5999</v>
      </c>
      <c r="K190" t="s">
        <v>704</v>
      </c>
      <c r="L190">
        <v>15</v>
      </c>
      <c r="M190" t="s">
        <v>65</v>
      </c>
      <c r="N190" t="s">
        <v>66</v>
      </c>
      <c r="O190" t="s">
        <v>162</v>
      </c>
      <c r="P190" t="s">
        <v>163</v>
      </c>
      <c r="Q190" t="s">
        <v>46</v>
      </c>
      <c r="R190" s="1">
        <v>45630</v>
      </c>
      <c r="S190" t="s">
        <v>34</v>
      </c>
      <c r="T190" t="s">
        <v>47</v>
      </c>
      <c r="U190" t="s">
        <v>105</v>
      </c>
      <c r="V190" s="1">
        <v>45659</v>
      </c>
      <c r="W190" t="s">
        <v>49</v>
      </c>
      <c r="AB190" s="2">
        <f t="shared" si="30"/>
        <v>1</v>
      </c>
      <c r="AC190">
        <f t="shared" si="31"/>
        <v>0</v>
      </c>
      <c r="AD190">
        <f t="shared" si="32"/>
        <v>2</v>
      </c>
      <c r="AE190" t="str">
        <f t="shared" si="33"/>
        <v>OK</v>
      </c>
      <c r="AF190" t="str">
        <f t="shared" si="34"/>
        <v>OK</v>
      </c>
      <c r="AG190" t="str">
        <f t="shared" si="35"/>
        <v>OK</v>
      </c>
      <c r="AI190" t="str">
        <f t="shared" si="36"/>
        <v>ERROR</v>
      </c>
      <c r="AJ190" t="str">
        <f t="shared" si="37"/>
        <v>OK</v>
      </c>
      <c r="AK190" t="str">
        <f t="shared" si="38"/>
        <v>OK</v>
      </c>
      <c r="AL190" t="str">
        <f t="shared" si="39"/>
        <v>OK</v>
      </c>
      <c r="AM190" t="str">
        <f t="shared" si="40"/>
        <v>OK</v>
      </c>
      <c r="AN190" t="str">
        <f t="shared" si="41"/>
        <v>OK</v>
      </c>
      <c r="AO190" t="str">
        <f t="shared" si="42"/>
        <v>OK</v>
      </c>
      <c r="AP190" t="str">
        <f t="shared" si="43"/>
        <v>OK</v>
      </c>
      <c r="AQ190" t="str">
        <f t="shared" si="44"/>
        <v>OK</v>
      </c>
    </row>
    <row r="191" spans="1:43" x14ac:dyDescent="0.3">
      <c r="A191" t="s">
        <v>848</v>
      </c>
      <c r="B191" s="1">
        <v>45615</v>
      </c>
      <c r="C191" t="s">
        <v>849</v>
      </c>
      <c r="D191" t="s">
        <v>25</v>
      </c>
      <c r="E191" t="s">
        <v>850</v>
      </c>
      <c r="F191" t="s">
        <v>72</v>
      </c>
      <c r="G191" t="s">
        <v>851</v>
      </c>
      <c r="H191">
        <v>499</v>
      </c>
      <c r="I191">
        <v>2</v>
      </c>
      <c r="J191">
        <v>998</v>
      </c>
      <c r="K191" t="s">
        <v>29</v>
      </c>
      <c r="L191">
        <v>0</v>
      </c>
      <c r="M191" t="s">
        <v>44</v>
      </c>
      <c r="N191" t="s">
        <v>31</v>
      </c>
      <c r="O191" t="s">
        <v>168</v>
      </c>
      <c r="P191" t="s">
        <v>152</v>
      </c>
      <c r="Q191" t="s">
        <v>32</v>
      </c>
      <c r="R191" s="1">
        <v>45628</v>
      </c>
      <c r="S191" t="s">
        <v>34</v>
      </c>
      <c r="T191" t="s">
        <v>35</v>
      </c>
      <c r="U191" t="s">
        <v>29</v>
      </c>
      <c r="V191" s="1"/>
      <c r="W191" t="s">
        <v>36</v>
      </c>
      <c r="AB191" s="2">
        <f t="shared" si="30"/>
        <v>1</v>
      </c>
      <c r="AC191">
        <f t="shared" si="31"/>
        <v>0</v>
      </c>
      <c r="AD191">
        <f t="shared" si="32"/>
        <v>2</v>
      </c>
      <c r="AE191" t="str">
        <f t="shared" si="33"/>
        <v>OK</v>
      </c>
      <c r="AF191" t="str">
        <f t="shared" si="34"/>
        <v>OK</v>
      </c>
      <c r="AG191" t="str">
        <f t="shared" si="35"/>
        <v>OK</v>
      </c>
      <c r="AI191" t="str">
        <f t="shared" si="36"/>
        <v>ERROR</v>
      </c>
      <c r="AJ191" t="str">
        <f t="shared" si="37"/>
        <v>OK</v>
      </c>
      <c r="AK191" t="str">
        <f t="shared" si="38"/>
        <v>OK</v>
      </c>
      <c r="AL191" t="str">
        <f t="shared" si="39"/>
        <v>OK</v>
      </c>
      <c r="AM191" t="str">
        <f t="shared" si="40"/>
        <v>ERROR</v>
      </c>
      <c r="AN191" t="str">
        <f t="shared" si="41"/>
        <v>OK</v>
      </c>
      <c r="AO191" t="str">
        <f t="shared" si="42"/>
        <v>OK</v>
      </c>
      <c r="AP191" t="str">
        <f t="shared" si="43"/>
        <v>OK</v>
      </c>
      <c r="AQ191" t="str">
        <f t="shared" si="44"/>
        <v>OK</v>
      </c>
    </row>
    <row r="192" spans="1:43" x14ac:dyDescent="0.3">
      <c r="A192" t="s">
        <v>852</v>
      </c>
      <c r="B192" s="1">
        <v>45615</v>
      </c>
      <c r="C192" t="s">
        <v>853</v>
      </c>
      <c r="D192" t="s">
        <v>25</v>
      </c>
      <c r="E192" t="s">
        <v>854</v>
      </c>
      <c r="F192" t="s">
        <v>27</v>
      </c>
      <c r="G192" t="s">
        <v>855</v>
      </c>
      <c r="H192">
        <v>1799</v>
      </c>
      <c r="I192">
        <v>1</v>
      </c>
      <c r="J192">
        <v>1799</v>
      </c>
      <c r="K192" t="s">
        <v>29</v>
      </c>
      <c r="L192">
        <v>0</v>
      </c>
      <c r="M192" t="s">
        <v>56</v>
      </c>
      <c r="N192" t="s">
        <v>45</v>
      </c>
      <c r="O192" t="s">
        <v>173</v>
      </c>
      <c r="P192" t="s">
        <v>33</v>
      </c>
      <c r="Q192" t="s">
        <v>32</v>
      </c>
      <c r="R192" s="1"/>
      <c r="S192" t="s">
        <v>121</v>
      </c>
      <c r="T192" t="s">
        <v>35</v>
      </c>
      <c r="U192" t="s">
        <v>29</v>
      </c>
      <c r="V192" s="1"/>
      <c r="W192" t="s">
        <v>36</v>
      </c>
      <c r="AB192" s="2">
        <f t="shared" si="30"/>
        <v>1</v>
      </c>
      <c r="AC192">
        <f t="shared" si="31"/>
        <v>0</v>
      </c>
      <c r="AD192">
        <f t="shared" si="32"/>
        <v>2</v>
      </c>
      <c r="AE192" t="str">
        <f t="shared" si="33"/>
        <v>OK</v>
      </c>
      <c r="AF192" t="str">
        <f t="shared" si="34"/>
        <v>OK</v>
      </c>
      <c r="AG192" t="str">
        <f t="shared" si="35"/>
        <v>OK</v>
      </c>
      <c r="AI192" t="str">
        <f t="shared" si="36"/>
        <v>ERROR</v>
      </c>
      <c r="AJ192" t="str">
        <f t="shared" si="37"/>
        <v>ERROR</v>
      </c>
      <c r="AK192" t="str">
        <f t="shared" si="38"/>
        <v>OK</v>
      </c>
      <c r="AL192" t="str">
        <f t="shared" si="39"/>
        <v>OK</v>
      </c>
      <c r="AM192" t="str">
        <f t="shared" si="40"/>
        <v>OK</v>
      </c>
      <c r="AN192" t="str">
        <f t="shared" si="41"/>
        <v>OK</v>
      </c>
      <c r="AO192" t="str">
        <f t="shared" si="42"/>
        <v>OK</v>
      </c>
      <c r="AP192" t="str">
        <f t="shared" si="43"/>
        <v>OK</v>
      </c>
      <c r="AQ192" t="str">
        <f t="shared" si="44"/>
        <v>OK</v>
      </c>
    </row>
    <row r="193" spans="1:43" x14ac:dyDescent="0.3">
      <c r="A193" t="s">
        <v>856</v>
      </c>
      <c r="B193" s="1">
        <v>45615</v>
      </c>
      <c r="C193" t="s">
        <v>857</v>
      </c>
      <c r="D193" t="s">
        <v>25</v>
      </c>
      <c r="E193" t="s">
        <v>858</v>
      </c>
      <c r="F193" t="s">
        <v>41</v>
      </c>
      <c r="G193" t="s">
        <v>859</v>
      </c>
      <c r="H193">
        <v>2999</v>
      </c>
      <c r="I193">
        <v>1</v>
      </c>
      <c r="J193">
        <v>2999</v>
      </c>
      <c r="K193" t="s">
        <v>29</v>
      </c>
      <c r="L193">
        <v>0</v>
      </c>
      <c r="M193" t="s">
        <v>30</v>
      </c>
      <c r="N193" t="s">
        <v>66</v>
      </c>
      <c r="O193" t="s">
        <v>178</v>
      </c>
      <c r="P193" t="s">
        <v>68</v>
      </c>
      <c r="Q193" t="s">
        <v>57</v>
      </c>
      <c r="R193" s="1">
        <v>45631</v>
      </c>
      <c r="S193" t="s">
        <v>34</v>
      </c>
      <c r="T193" t="s">
        <v>47</v>
      </c>
      <c r="U193" t="s">
        <v>80</v>
      </c>
      <c r="V193" s="1">
        <v>45660</v>
      </c>
      <c r="W193" t="s">
        <v>49</v>
      </c>
      <c r="AB193" s="2">
        <f t="shared" si="30"/>
        <v>1</v>
      </c>
      <c r="AC193">
        <f t="shared" si="31"/>
        <v>0</v>
      </c>
      <c r="AD193">
        <f t="shared" si="32"/>
        <v>2</v>
      </c>
      <c r="AE193" t="str">
        <f t="shared" si="33"/>
        <v>OK</v>
      </c>
      <c r="AF193" t="str">
        <f t="shared" si="34"/>
        <v>OK</v>
      </c>
      <c r="AG193" t="str">
        <f t="shared" si="35"/>
        <v>OK</v>
      </c>
      <c r="AI193" t="str">
        <f t="shared" si="36"/>
        <v>ERROR</v>
      </c>
      <c r="AJ193" t="str">
        <f t="shared" si="37"/>
        <v>OK</v>
      </c>
      <c r="AK193" t="str">
        <f t="shared" si="38"/>
        <v>OK</v>
      </c>
      <c r="AL193" t="str">
        <f t="shared" si="39"/>
        <v>OK</v>
      </c>
      <c r="AM193" t="str">
        <f t="shared" si="40"/>
        <v>OK</v>
      </c>
      <c r="AN193" t="str">
        <f t="shared" si="41"/>
        <v>OK</v>
      </c>
      <c r="AO193" t="str">
        <f t="shared" si="42"/>
        <v>OK</v>
      </c>
      <c r="AP193" t="str">
        <f t="shared" si="43"/>
        <v>OK</v>
      </c>
      <c r="AQ193" t="str">
        <f t="shared" si="44"/>
        <v>OK</v>
      </c>
    </row>
    <row r="194" spans="1:43" x14ac:dyDescent="0.3">
      <c r="A194" t="s">
        <v>860</v>
      </c>
      <c r="B194" s="1">
        <v>45616</v>
      </c>
      <c r="C194" t="s">
        <v>861</v>
      </c>
      <c r="D194" t="s">
        <v>39</v>
      </c>
      <c r="E194" t="s">
        <v>862</v>
      </c>
      <c r="F194" t="s">
        <v>54</v>
      </c>
      <c r="G194" t="s">
        <v>863</v>
      </c>
      <c r="H194">
        <v>2199</v>
      </c>
      <c r="I194">
        <v>1</v>
      </c>
      <c r="J194">
        <v>2199</v>
      </c>
      <c r="K194" t="s">
        <v>704</v>
      </c>
      <c r="L194">
        <v>15</v>
      </c>
      <c r="M194" t="s">
        <v>112</v>
      </c>
      <c r="N194" t="s">
        <v>31</v>
      </c>
      <c r="O194" t="s">
        <v>183</v>
      </c>
      <c r="P194" t="s">
        <v>184</v>
      </c>
      <c r="Q194" t="s">
        <v>57</v>
      </c>
      <c r="R194" s="1">
        <v>45629</v>
      </c>
      <c r="S194" t="s">
        <v>34</v>
      </c>
      <c r="T194" t="s">
        <v>35</v>
      </c>
      <c r="U194" t="s">
        <v>29</v>
      </c>
      <c r="V194" s="1"/>
      <c r="W194" t="s">
        <v>36</v>
      </c>
      <c r="AB194" s="2">
        <f t="shared" si="30"/>
        <v>1</v>
      </c>
      <c r="AC194">
        <f t="shared" si="31"/>
        <v>0</v>
      </c>
      <c r="AD194">
        <f t="shared" si="32"/>
        <v>2</v>
      </c>
      <c r="AE194" t="str">
        <f t="shared" si="33"/>
        <v>OK</v>
      </c>
      <c r="AF194" t="str">
        <f t="shared" si="34"/>
        <v>OK</v>
      </c>
      <c r="AG194" t="str">
        <f t="shared" si="35"/>
        <v>OK</v>
      </c>
      <c r="AI194" t="str">
        <f t="shared" si="36"/>
        <v>ERROR</v>
      </c>
      <c r="AJ194" t="str">
        <f t="shared" si="37"/>
        <v>OK</v>
      </c>
      <c r="AK194" t="str">
        <f t="shared" si="38"/>
        <v>OK</v>
      </c>
      <c r="AL194" t="str">
        <f t="shared" si="39"/>
        <v>OK</v>
      </c>
      <c r="AM194" t="str">
        <f t="shared" si="40"/>
        <v>ERROR</v>
      </c>
      <c r="AN194" t="str">
        <f t="shared" si="41"/>
        <v>OK</v>
      </c>
      <c r="AO194" t="str">
        <f t="shared" si="42"/>
        <v>OK</v>
      </c>
      <c r="AP194" t="str">
        <f t="shared" si="43"/>
        <v>OK</v>
      </c>
      <c r="AQ194" t="str">
        <f t="shared" si="44"/>
        <v>OK</v>
      </c>
    </row>
    <row r="195" spans="1:43" x14ac:dyDescent="0.3">
      <c r="A195" t="s">
        <v>864</v>
      </c>
      <c r="B195" s="1">
        <v>45616</v>
      </c>
      <c r="C195" t="s">
        <v>865</v>
      </c>
      <c r="D195" t="s">
        <v>25</v>
      </c>
      <c r="E195" t="s">
        <v>866</v>
      </c>
      <c r="F195" t="s">
        <v>62</v>
      </c>
      <c r="G195" t="s">
        <v>867</v>
      </c>
      <c r="H195">
        <v>4899</v>
      </c>
      <c r="I195">
        <v>1</v>
      </c>
      <c r="J195">
        <v>4899</v>
      </c>
      <c r="K195" t="s">
        <v>29</v>
      </c>
      <c r="L195">
        <v>0</v>
      </c>
      <c r="M195" t="s">
        <v>65</v>
      </c>
      <c r="N195" t="s">
        <v>45</v>
      </c>
      <c r="O195" t="s">
        <v>189</v>
      </c>
      <c r="P195" t="s">
        <v>190</v>
      </c>
      <c r="Q195" t="s">
        <v>57</v>
      </c>
      <c r="R195" s="1">
        <v>45632</v>
      </c>
      <c r="S195" t="s">
        <v>34</v>
      </c>
      <c r="T195" t="s">
        <v>47</v>
      </c>
      <c r="U195" t="s">
        <v>69</v>
      </c>
      <c r="V195" s="1">
        <v>45661</v>
      </c>
      <c r="W195" t="s">
        <v>49</v>
      </c>
      <c r="AB195" s="2">
        <f t="shared" ref="AB195:AB258" si="45">COUNTIF(A$2:A$347,A195)</f>
        <v>1</v>
      </c>
      <c r="AC195">
        <f t="shared" ref="AC195:AC258" si="46">LEN(S195)-LEN(TRIM(S195))</f>
        <v>0</v>
      </c>
      <c r="AD195">
        <f t="shared" ref="AD195:AD258" si="47">LEN(E195)-LEN(SUBSTITUTE(E195,"-",""))</f>
        <v>2</v>
      </c>
      <c r="AE195" t="str">
        <f t="shared" ref="AE195:AE258" si="48">IF(I195&gt;10,"FLAG","OK")</f>
        <v>OK</v>
      </c>
      <c r="AF195" t="str">
        <f t="shared" ref="AF195:AF258" si="49">IF(OR(H195&lt;=0,H195&gt;10000),"FLAG","OK")</f>
        <v>OK</v>
      </c>
      <c r="AG195" t="str">
        <f t="shared" ref="AG195:AG258" si="50">IF(OR(L195&lt;0,L195&gt;100),"FLAG","OK")</f>
        <v>OK</v>
      </c>
      <c r="AI195" t="str">
        <f t="shared" ref="AI195:AI258" si="51">IF(AG195=J195,"OK","ERROR")</f>
        <v>ERROR</v>
      </c>
      <c r="AJ195" t="str">
        <f t="shared" ref="AJ195:AJ258" si="52">IF(R195&lt;B195,"ERROR","OK")</f>
        <v>OK</v>
      </c>
      <c r="AK195" t="str">
        <f t="shared" ref="AK195:AK258" si="53">IF(AND(S195="Cancelled",R195&lt;&gt;""),"ERROR","OK")</f>
        <v>OK</v>
      </c>
      <c r="AL195" t="str">
        <f t="shared" ref="AL195:AL258" si="54">IF(AND(T195="Yes",U195=""),"ERROR","OK")</f>
        <v>OK</v>
      </c>
      <c r="AM195" t="str">
        <f t="shared" ref="AM195:AM258" si="55">IF(V195&lt;R195,"ERROR","OK")</f>
        <v>OK</v>
      </c>
      <c r="AN195" t="str">
        <f t="shared" ref="AN195:AN258" si="56">IF(AND(I195&gt;0,MOD(I195,1)=0),"OK","ERROR")</f>
        <v>OK</v>
      </c>
      <c r="AO195" t="str">
        <f t="shared" ref="AO195:AO258" si="57">IF(OR(B195="",B195&lt;DATE(2024,10,1),B195&gt;DATE(2024,12,31)),"ERROR","OK")</f>
        <v>OK</v>
      </c>
      <c r="AP195" t="str">
        <f t="shared" ref="AP195:AP258" si="58">IF(OR(B195&lt;DATE(2024,10,1),B195&gt;DATE(2024,12,31)),"ERROR","OK")</f>
        <v>OK</v>
      </c>
      <c r="AQ195" t="str">
        <f t="shared" ref="AQ195:AQ258" si="59">IF(OR(S195="Delivered",S195="Cancelled",S195="RTO",S195="In Transit"),"OK","ERROR")</f>
        <v>OK</v>
      </c>
    </row>
    <row r="196" spans="1:43" x14ac:dyDescent="0.3">
      <c r="A196" t="s">
        <v>868</v>
      </c>
      <c r="B196" s="1">
        <v>45616</v>
      </c>
      <c r="C196" t="s">
        <v>869</v>
      </c>
      <c r="D196" t="s">
        <v>25</v>
      </c>
      <c r="E196" t="s">
        <v>870</v>
      </c>
      <c r="F196" t="s">
        <v>72</v>
      </c>
      <c r="G196" t="s">
        <v>871</v>
      </c>
      <c r="H196">
        <v>799</v>
      </c>
      <c r="I196">
        <v>1</v>
      </c>
      <c r="J196">
        <v>799</v>
      </c>
      <c r="K196" t="s">
        <v>29</v>
      </c>
      <c r="L196">
        <v>0</v>
      </c>
      <c r="M196" t="s">
        <v>44</v>
      </c>
      <c r="N196" t="s">
        <v>66</v>
      </c>
      <c r="O196" t="s">
        <v>195</v>
      </c>
      <c r="P196" t="s">
        <v>184</v>
      </c>
      <c r="Q196" t="s">
        <v>57</v>
      </c>
      <c r="R196" s="1">
        <v>45630</v>
      </c>
      <c r="S196" t="s">
        <v>34</v>
      </c>
      <c r="T196" t="s">
        <v>35</v>
      </c>
      <c r="U196" t="s">
        <v>29</v>
      </c>
      <c r="V196" s="1"/>
      <c r="W196" t="s">
        <v>36</v>
      </c>
      <c r="AB196" s="2">
        <f t="shared" si="45"/>
        <v>1</v>
      </c>
      <c r="AC196">
        <f t="shared" si="46"/>
        <v>0</v>
      </c>
      <c r="AD196">
        <f t="shared" si="47"/>
        <v>2</v>
      </c>
      <c r="AE196" t="str">
        <f t="shared" si="48"/>
        <v>OK</v>
      </c>
      <c r="AF196" t="str">
        <f t="shared" si="49"/>
        <v>OK</v>
      </c>
      <c r="AG196" t="str">
        <f t="shared" si="50"/>
        <v>OK</v>
      </c>
      <c r="AI196" t="str">
        <f t="shared" si="51"/>
        <v>ERROR</v>
      </c>
      <c r="AJ196" t="str">
        <f t="shared" si="52"/>
        <v>OK</v>
      </c>
      <c r="AK196" t="str">
        <f t="shared" si="53"/>
        <v>OK</v>
      </c>
      <c r="AL196" t="str">
        <f t="shared" si="54"/>
        <v>OK</v>
      </c>
      <c r="AM196" t="str">
        <f t="shared" si="55"/>
        <v>ERROR</v>
      </c>
      <c r="AN196" t="str">
        <f t="shared" si="56"/>
        <v>OK</v>
      </c>
      <c r="AO196" t="str">
        <f t="shared" si="57"/>
        <v>OK</v>
      </c>
      <c r="AP196" t="str">
        <f t="shared" si="58"/>
        <v>OK</v>
      </c>
      <c r="AQ196" t="str">
        <f t="shared" si="59"/>
        <v>OK</v>
      </c>
    </row>
    <row r="197" spans="1:43" x14ac:dyDescent="0.3">
      <c r="A197" t="s">
        <v>872</v>
      </c>
      <c r="B197" s="1">
        <v>45617</v>
      </c>
      <c r="C197" t="s">
        <v>873</v>
      </c>
      <c r="D197" t="s">
        <v>25</v>
      </c>
      <c r="E197" t="s">
        <v>874</v>
      </c>
      <c r="F197" t="s">
        <v>27</v>
      </c>
      <c r="G197" t="s">
        <v>875</v>
      </c>
      <c r="H197">
        <v>1999</v>
      </c>
      <c r="I197">
        <v>1</v>
      </c>
      <c r="J197">
        <v>1999</v>
      </c>
      <c r="K197" t="s">
        <v>29</v>
      </c>
      <c r="L197">
        <v>0</v>
      </c>
      <c r="M197" t="s">
        <v>30</v>
      </c>
      <c r="N197" t="s">
        <v>31</v>
      </c>
      <c r="O197" t="s">
        <v>200</v>
      </c>
      <c r="P197" t="s">
        <v>58</v>
      </c>
      <c r="Q197" t="s">
        <v>57</v>
      </c>
      <c r="R197" s="1">
        <v>45631</v>
      </c>
      <c r="S197" t="s">
        <v>34</v>
      </c>
      <c r="T197" t="s">
        <v>47</v>
      </c>
      <c r="U197" t="s">
        <v>48</v>
      </c>
      <c r="V197" s="1">
        <v>45660</v>
      </c>
      <c r="W197" t="s">
        <v>49</v>
      </c>
      <c r="AB197" s="2">
        <f t="shared" si="45"/>
        <v>1</v>
      </c>
      <c r="AC197">
        <f t="shared" si="46"/>
        <v>0</v>
      </c>
      <c r="AD197">
        <f t="shared" si="47"/>
        <v>2</v>
      </c>
      <c r="AE197" t="str">
        <f t="shared" si="48"/>
        <v>OK</v>
      </c>
      <c r="AF197" t="str">
        <f t="shared" si="49"/>
        <v>OK</v>
      </c>
      <c r="AG197" t="str">
        <f t="shared" si="50"/>
        <v>OK</v>
      </c>
      <c r="AI197" t="str">
        <f t="shared" si="51"/>
        <v>ERROR</v>
      </c>
      <c r="AJ197" t="str">
        <f t="shared" si="52"/>
        <v>OK</v>
      </c>
      <c r="AK197" t="str">
        <f t="shared" si="53"/>
        <v>OK</v>
      </c>
      <c r="AL197" t="str">
        <f t="shared" si="54"/>
        <v>OK</v>
      </c>
      <c r="AM197" t="str">
        <f t="shared" si="55"/>
        <v>OK</v>
      </c>
      <c r="AN197" t="str">
        <f t="shared" si="56"/>
        <v>OK</v>
      </c>
      <c r="AO197" t="str">
        <f t="shared" si="57"/>
        <v>OK</v>
      </c>
      <c r="AP197" t="str">
        <f t="shared" si="58"/>
        <v>OK</v>
      </c>
      <c r="AQ197" t="str">
        <f t="shared" si="59"/>
        <v>OK</v>
      </c>
    </row>
    <row r="198" spans="1:43" x14ac:dyDescent="0.3">
      <c r="A198" t="s">
        <v>876</v>
      </c>
      <c r="B198" s="1">
        <v>45617</v>
      </c>
      <c r="C198" t="s">
        <v>877</v>
      </c>
      <c r="D198" t="s">
        <v>25</v>
      </c>
      <c r="E198" t="s">
        <v>878</v>
      </c>
      <c r="F198" t="s">
        <v>41</v>
      </c>
      <c r="G198" t="s">
        <v>879</v>
      </c>
      <c r="H198">
        <v>3499</v>
      </c>
      <c r="I198">
        <v>1</v>
      </c>
      <c r="J198">
        <v>3499</v>
      </c>
      <c r="K198" t="s">
        <v>704</v>
      </c>
      <c r="L198">
        <v>15</v>
      </c>
      <c r="M198" t="s">
        <v>56</v>
      </c>
      <c r="N198" t="s">
        <v>45</v>
      </c>
      <c r="O198" t="s">
        <v>205</v>
      </c>
      <c r="P198" t="s">
        <v>98</v>
      </c>
      <c r="Q198" t="s">
        <v>32</v>
      </c>
      <c r="R198" s="1">
        <v>45633</v>
      </c>
      <c r="S198" t="s">
        <v>34</v>
      </c>
      <c r="T198" t="s">
        <v>47</v>
      </c>
      <c r="U198" t="s">
        <v>105</v>
      </c>
      <c r="V198" s="1">
        <v>45662</v>
      </c>
      <c r="W198" t="s">
        <v>49</v>
      </c>
      <c r="AB198" s="2">
        <f t="shared" si="45"/>
        <v>1</v>
      </c>
      <c r="AC198">
        <f t="shared" si="46"/>
        <v>0</v>
      </c>
      <c r="AD198">
        <f t="shared" si="47"/>
        <v>2</v>
      </c>
      <c r="AE198" t="str">
        <f t="shared" si="48"/>
        <v>OK</v>
      </c>
      <c r="AF198" t="str">
        <f t="shared" si="49"/>
        <v>OK</v>
      </c>
      <c r="AG198" t="str">
        <f t="shared" si="50"/>
        <v>OK</v>
      </c>
      <c r="AI198" t="str">
        <f t="shared" si="51"/>
        <v>ERROR</v>
      </c>
      <c r="AJ198" t="str">
        <f t="shared" si="52"/>
        <v>OK</v>
      </c>
      <c r="AK198" t="str">
        <f t="shared" si="53"/>
        <v>OK</v>
      </c>
      <c r="AL198" t="str">
        <f t="shared" si="54"/>
        <v>OK</v>
      </c>
      <c r="AM198" t="str">
        <f t="shared" si="55"/>
        <v>OK</v>
      </c>
      <c r="AN198" t="str">
        <f t="shared" si="56"/>
        <v>OK</v>
      </c>
      <c r="AO198" t="str">
        <f t="shared" si="57"/>
        <v>OK</v>
      </c>
      <c r="AP198" t="str">
        <f t="shared" si="58"/>
        <v>OK</v>
      </c>
      <c r="AQ198" t="str">
        <f t="shared" si="59"/>
        <v>OK</v>
      </c>
    </row>
    <row r="199" spans="1:43" x14ac:dyDescent="0.3">
      <c r="A199" t="s">
        <v>880</v>
      </c>
      <c r="B199" s="1">
        <v>45617</v>
      </c>
      <c r="C199" t="s">
        <v>881</v>
      </c>
      <c r="D199" t="s">
        <v>39</v>
      </c>
      <c r="E199" t="s">
        <v>882</v>
      </c>
      <c r="F199" t="s">
        <v>54</v>
      </c>
      <c r="G199" t="s">
        <v>883</v>
      </c>
      <c r="H199">
        <v>2599</v>
      </c>
      <c r="I199">
        <v>1</v>
      </c>
      <c r="J199">
        <v>2599</v>
      </c>
      <c r="K199" t="s">
        <v>29</v>
      </c>
      <c r="L199">
        <v>0</v>
      </c>
      <c r="M199" t="s">
        <v>44</v>
      </c>
      <c r="N199" t="s">
        <v>66</v>
      </c>
      <c r="O199" t="s">
        <v>210</v>
      </c>
      <c r="P199" t="s">
        <v>98</v>
      </c>
      <c r="Q199" t="s">
        <v>32</v>
      </c>
      <c r="R199" s="1">
        <v>45631</v>
      </c>
      <c r="S199" t="s">
        <v>34</v>
      </c>
      <c r="T199" t="s">
        <v>35</v>
      </c>
      <c r="U199" t="s">
        <v>29</v>
      </c>
      <c r="V199" s="1"/>
      <c r="W199" t="s">
        <v>36</v>
      </c>
      <c r="AB199" s="2">
        <f t="shared" si="45"/>
        <v>1</v>
      </c>
      <c r="AC199">
        <f t="shared" si="46"/>
        <v>0</v>
      </c>
      <c r="AD199">
        <f t="shared" si="47"/>
        <v>2</v>
      </c>
      <c r="AE199" t="str">
        <f t="shared" si="48"/>
        <v>OK</v>
      </c>
      <c r="AF199" t="str">
        <f t="shared" si="49"/>
        <v>OK</v>
      </c>
      <c r="AG199" t="str">
        <f t="shared" si="50"/>
        <v>OK</v>
      </c>
      <c r="AI199" t="str">
        <f t="shared" si="51"/>
        <v>ERROR</v>
      </c>
      <c r="AJ199" t="str">
        <f t="shared" si="52"/>
        <v>OK</v>
      </c>
      <c r="AK199" t="str">
        <f t="shared" si="53"/>
        <v>OK</v>
      </c>
      <c r="AL199" t="str">
        <f t="shared" si="54"/>
        <v>OK</v>
      </c>
      <c r="AM199" t="str">
        <f t="shared" si="55"/>
        <v>ERROR</v>
      </c>
      <c r="AN199" t="str">
        <f t="shared" si="56"/>
        <v>OK</v>
      </c>
      <c r="AO199" t="str">
        <f t="shared" si="57"/>
        <v>OK</v>
      </c>
      <c r="AP199" t="str">
        <f t="shared" si="58"/>
        <v>OK</v>
      </c>
      <c r="AQ199" t="str">
        <f t="shared" si="59"/>
        <v>OK</v>
      </c>
    </row>
    <row r="200" spans="1:43" x14ac:dyDescent="0.3">
      <c r="A200" t="s">
        <v>884</v>
      </c>
      <c r="B200" s="1">
        <v>45618</v>
      </c>
      <c r="C200" t="s">
        <v>885</v>
      </c>
      <c r="D200" t="s">
        <v>25</v>
      </c>
      <c r="E200" t="s">
        <v>886</v>
      </c>
      <c r="F200" t="s">
        <v>62</v>
      </c>
      <c r="G200" t="s">
        <v>887</v>
      </c>
      <c r="H200">
        <v>5499</v>
      </c>
      <c r="I200">
        <v>1</v>
      </c>
      <c r="J200">
        <v>5499</v>
      </c>
      <c r="K200" t="s">
        <v>29</v>
      </c>
      <c r="L200">
        <v>0</v>
      </c>
      <c r="M200" t="s">
        <v>112</v>
      </c>
      <c r="N200" t="s">
        <v>31</v>
      </c>
      <c r="O200" t="s">
        <v>215</v>
      </c>
      <c r="P200" t="s">
        <v>114</v>
      </c>
      <c r="Q200" t="s">
        <v>46</v>
      </c>
      <c r="R200" s="1">
        <v>45634</v>
      </c>
      <c r="S200" t="s">
        <v>34</v>
      </c>
      <c r="T200" t="s">
        <v>47</v>
      </c>
      <c r="U200" t="s">
        <v>80</v>
      </c>
      <c r="V200" s="1">
        <v>45663</v>
      </c>
      <c r="W200" t="s">
        <v>49</v>
      </c>
      <c r="AB200" s="2">
        <f t="shared" si="45"/>
        <v>1</v>
      </c>
      <c r="AC200">
        <f t="shared" si="46"/>
        <v>0</v>
      </c>
      <c r="AD200">
        <f t="shared" si="47"/>
        <v>2</v>
      </c>
      <c r="AE200" t="str">
        <f t="shared" si="48"/>
        <v>OK</v>
      </c>
      <c r="AF200" t="str">
        <f t="shared" si="49"/>
        <v>OK</v>
      </c>
      <c r="AG200" t="str">
        <f t="shared" si="50"/>
        <v>OK</v>
      </c>
      <c r="AI200" t="str">
        <f t="shared" si="51"/>
        <v>ERROR</v>
      </c>
      <c r="AJ200" t="str">
        <f t="shared" si="52"/>
        <v>OK</v>
      </c>
      <c r="AK200" t="str">
        <f t="shared" si="53"/>
        <v>OK</v>
      </c>
      <c r="AL200" t="str">
        <f t="shared" si="54"/>
        <v>OK</v>
      </c>
      <c r="AM200" t="str">
        <f t="shared" si="55"/>
        <v>OK</v>
      </c>
      <c r="AN200" t="str">
        <f t="shared" si="56"/>
        <v>OK</v>
      </c>
      <c r="AO200" t="str">
        <f t="shared" si="57"/>
        <v>OK</v>
      </c>
      <c r="AP200" t="str">
        <f t="shared" si="58"/>
        <v>OK</v>
      </c>
      <c r="AQ200" t="str">
        <f t="shared" si="59"/>
        <v>OK</v>
      </c>
    </row>
    <row r="201" spans="1:43" x14ac:dyDescent="0.3">
      <c r="A201" t="s">
        <v>888</v>
      </c>
      <c r="B201" s="1">
        <v>45618</v>
      </c>
      <c r="C201" t="s">
        <v>889</v>
      </c>
      <c r="D201" t="s">
        <v>25</v>
      </c>
      <c r="E201" t="s">
        <v>890</v>
      </c>
      <c r="F201" t="s">
        <v>72</v>
      </c>
      <c r="G201" t="s">
        <v>891</v>
      </c>
      <c r="H201">
        <v>999</v>
      </c>
      <c r="I201">
        <v>1</v>
      </c>
      <c r="J201">
        <v>999</v>
      </c>
      <c r="K201" t="s">
        <v>29</v>
      </c>
      <c r="L201">
        <v>0</v>
      </c>
      <c r="M201" t="s">
        <v>65</v>
      </c>
      <c r="N201" t="s">
        <v>45</v>
      </c>
      <c r="O201" t="s">
        <v>32</v>
      </c>
      <c r="P201" t="s">
        <v>33</v>
      </c>
      <c r="Q201" t="s">
        <v>32</v>
      </c>
      <c r="R201" s="1">
        <v>45632</v>
      </c>
      <c r="S201" t="s">
        <v>34</v>
      </c>
      <c r="T201" t="s">
        <v>35</v>
      </c>
      <c r="U201" t="s">
        <v>29</v>
      </c>
      <c r="V201" s="1"/>
      <c r="W201" t="s">
        <v>36</v>
      </c>
      <c r="AB201" s="2">
        <f t="shared" si="45"/>
        <v>1</v>
      </c>
      <c r="AC201">
        <f t="shared" si="46"/>
        <v>0</v>
      </c>
      <c r="AD201">
        <f t="shared" si="47"/>
        <v>2</v>
      </c>
      <c r="AE201" t="str">
        <f t="shared" si="48"/>
        <v>OK</v>
      </c>
      <c r="AF201" t="str">
        <f t="shared" si="49"/>
        <v>OK</v>
      </c>
      <c r="AG201" t="str">
        <f t="shared" si="50"/>
        <v>OK</v>
      </c>
      <c r="AI201" t="str">
        <f t="shared" si="51"/>
        <v>ERROR</v>
      </c>
      <c r="AJ201" t="str">
        <f t="shared" si="52"/>
        <v>OK</v>
      </c>
      <c r="AK201" t="str">
        <f t="shared" si="53"/>
        <v>OK</v>
      </c>
      <c r="AL201" t="str">
        <f t="shared" si="54"/>
        <v>OK</v>
      </c>
      <c r="AM201" t="str">
        <f t="shared" si="55"/>
        <v>ERROR</v>
      </c>
      <c r="AN201" t="str">
        <f t="shared" si="56"/>
        <v>OK</v>
      </c>
      <c r="AO201" t="str">
        <f t="shared" si="57"/>
        <v>OK</v>
      </c>
      <c r="AP201" t="str">
        <f t="shared" si="58"/>
        <v>OK</v>
      </c>
      <c r="AQ201" t="str">
        <f t="shared" si="59"/>
        <v>OK</v>
      </c>
    </row>
    <row r="202" spans="1:43" x14ac:dyDescent="0.3">
      <c r="A202" t="s">
        <v>892</v>
      </c>
      <c r="B202" s="1">
        <v>45618</v>
      </c>
      <c r="C202" t="s">
        <v>893</v>
      </c>
      <c r="D202" t="s">
        <v>25</v>
      </c>
      <c r="E202" t="s">
        <v>894</v>
      </c>
      <c r="F202" t="s">
        <v>27</v>
      </c>
      <c r="G202" t="s">
        <v>895</v>
      </c>
      <c r="H202">
        <v>1699</v>
      </c>
      <c r="I202">
        <v>1</v>
      </c>
      <c r="J202">
        <v>1699</v>
      </c>
      <c r="K202" t="s">
        <v>704</v>
      </c>
      <c r="L202">
        <v>15</v>
      </c>
      <c r="M202" t="s">
        <v>30</v>
      </c>
      <c r="N202" t="s">
        <v>66</v>
      </c>
      <c r="O202" t="s">
        <v>46</v>
      </c>
      <c r="P202" t="s">
        <v>46</v>
      </c>
      <c r="Q202" t="s">
        <v>46</v>
      </c>
      <c r="R202" s="1">
        <v>45633</v>
      </c>
      <c r="S202" t="s">
        <v>34</v>
      </c>
      <c r="T202" t="s">
        <v>47</v>
      </c>
      <c r="U202" t="s">
        <v>139</v>
      </c>
      <c r="V202" s="1">
        <v>45662</v>
      </c>
      <c r="W202" t="s">
        <v>49</v>
      </c>
      <c r="AB202" s="2">
        <f t="shared" si="45"/>
        <v>1</v>
      </c>
      <c r="AC202">
        <f t="shared" si="46"/>
        <v>0</v>
      </c>
      <c r="AD202">
        <f t="shared" si="47"/>
        <v>2</v>
      </c>
      <c r="AE202" t="str">
        <f t="shared" si="48"/>
        <v>OK</v>
      </c>
      <c r="AF202" t="str">
        <f t="shared" si="49"/>
        <v>OK</v>
      </c>
      <c r="AG202" t="str">
        <f t="shared" si="50"/>
        <v>OK</v>
      </c>
      <c r="AI202" t="str">
        <f t="shared" si="51"/>
        <v>ERROR</v>
      </c>
      <c r="AJ202" t="str">
        <f t="shared" si="52"/>
        <v>OK</v>
      </c>
      <c r="AK202" t="str">
        <f t="shared" si="53"/>
        <v>OK</v>
      </c>
      <c r="AL202" t="str">
        <f t="shared" si="54"/>
        <v>OK</v>
      </c>
      <c r="AM202" t="str">
        <f t="shared" si="55"/>
        <v>OK</v>
      </c>
      <c r="AN202" t="str">
        <f t="shared" si="56"/>
        <v>OK</v>
      </c>
      <c r="AO202" t="str">
        <f t="shared" si="57"/>
        <v>OK</v>
      </c>
      <c r="AP202" t="str">
        <f t="shared" si="58"/>
        <v>OK</v>
      </c>
      <c r="AQ202" t="str">
        <f t="shared" si="59"/>
        <v>OK</v>
      </c>
    </row>
    <row r="203" spans="1:43" x14ac:dyDescent="0.3">
      <c r="A203" t="s">
        <v>896</v>
      </c>
      <c r="B203" s="1">
        <v>45619</v>
      </c>
      <c r="C203" t="s">
        <v>897</v>
      </c>
      <c r="D203" t="s">
        <v>25</v>
      </c>
      <c r="E203" t="s">
        <v>898</v>
      </c>
      <c r="F203" t="s">
        <v>41</v>
      </c>
      <c r="G203" t="s">
        <v>899</v>
      </c>
      <c r="H203">
        <v>2799</v>
      </c>
      <c r="I203">
        <v>1</v>
      </c>
      <c r="J203">
        <v>2799</v>
      </c>
      <c r="K203" t="s">
        <v>29</v>
      </c>
      <c r="L203">
        <v>0</v>
      </c>
      <c r="M203" t="s">
        <v>44</v>
      </c>
      <c r="N203" t="s">
        <v>31</v>
      </c>
      <c r="O203" t="s">
        <v>91</v>
      </c>
      <c r="P203" t="s">
        <v>92</v>
      </c>
      <c r="Q203" t="s">
        <v>46</v>
      </c>
      <c r="R203" s="1">
        <v>45635</v>
      </c>
      <c r="S203" t="s">
        <v>34</v>
      </c>
      <c r="T203" t="s">
        <v>35</v>
      </c>
      <c r="U203" t="s">
        <v>29</v>
      </c>
      <c r="V203" s="1"/>
      <c r="W203" t="s">
        <v>36</v>
      </c>
      <c r="AB203" s="2">
        <f t="shared" si="45"/>
        <v>1</v>
      </c>
      <c r="AC203">
        <f t="shared" si="46"/>
        <v>0</v>
      </c>
      <c r="AD203">
        <f t="shared" si="47"/>
        <v>2</v>
      </c>
      <c r="AE203" t="str">
        <f t="shared" si="48"/>
        <v>OK</v>
      </c>
      <c r="AF203" t="str">
        <f t="shared" si="49"/>
        <v>OK</v>
      </c>
      <c r="AG203" t="str">
        <f t="shared" si="50"/>
        <v>OK</v>
      </c>
      <c r="AI203" t="str">
        <f t="shared" si="51"/>
        <v>ERROR</v>
      </c>
      <c r="AJ203" t="str">
        <f t="shared" si="52"/>
        <v>OK</v>
      </c>
      <c r="AK203" t="str">
        <f t="shared" si="53"/>
        <v>OK</v>
      </c>
      <c r="AL203" t="str">
        <f t="shared" si="54"/>
        <v>OK</v>
      </c>
      <c r="AM203" t="str">
        <f t="shared" si="55"/>
        <v>ERROR</v>
      </c>
      <c r="AN203" t="str">
        <f t="shared" si="56"/>
        <v>OK</v>
      </c>
      <c r="AO203" t="str">
        <f t="shared" si="57"/>
        <v>OK</v>
      </c>
      <c r="AP203" t="str">
        <f t="shared" si="58"/>
        <v>OK</v>
      </c>
      <c r="AQ203" t="str">
        <f t="shared" si="59"/>
        <v>OK</v>
      </c>
    </row>
    <row r="204" spans="1:43" x14ac:dyDescent="0.3">
      <c r="A204" t="s">
        <v>900</v>
      </c>
      <c r="B204" s="1">
        <v>45619</v>
      </c>
      <c r="C204" t="s">
        <v>901</v>
      </c>
      <c r="D204" t="s">
        <v>39</v>
      </c>
      <c r="E204" t="s">
        <v>902</v>
      </c>
      <c r="F204" t="s">
        <v>54</v>
      </c>
      <c r="G204" t="s">
        <v>903</v>
      </c>
      <c r="H204">
        <v>2399</v>
      </c>
      <c r="I204">
        <v>1</v>
      </c>
      <c r="J204">
        <v>2399</v>
      </c>
      <c r="K204" t="s">
        <v>29</v>
      </c>
      <c r="L204">
        <v>0</v>
      </c>
      <c r="M204" t="s">
        <v>56</v>
      </c>
      <c r="N204" t="s">
        <v>45</v>
      </c>
      <c r="O204" t="s">
        <v>67</v>
      </c>
      <c r="P204" t="s">
        <v>68</v>
      </c>
      <c r="Q204" t="s">
        <v>57</v>
      </c>
      <c r="R204" s="1">
        <v>45633</v>
      </c>
      <c r="S204" t="s">
        <v>34</v>
      </c>
      <c r="T204" t="s">
        <v>47</v>
      </c>
      <c r="U204" t="s">
        <v>69</v>
      </c>
      <c r="V204" s="1">
        <v>45661</v>
      </c>
      <c r="W204" t="s">
        <v>49</v>
      </c>
      <c r="AB204" s="2">
        <f t="shared" si="45"/>
        <v>1</v>
      </c>
      <c r="AC204">
        <f t="shared" si="46"/>
        <v>0</v>
      </c>
      <c r="AD204">
        <f t="shared" si="47"/>
        <v>2</v>
      </c>
      <c r="AE204" t="str">
        <f t="shared" si="48"/>
        <v>OK</v>
      </c>
      <c r="AF204" t="str">
        <f t="shared" si="49"/>
        <v>OK</v>
      </c>
      <c r="AG204" t="str">
        <f t="shared" si="50"/>
        <v>OK</v>
      </c>
      <c r="AI204" t="str">
        <f t="shared" si="51"/>
        <v>ERROR</v>
      </c>
      <c r="AJ204" t="str">
        <f t="shared" si="52"/>
        <v>OK</v>
      </c>
      <c r="AK204" t="str">
        <f t="shared" si="53"/>
        <v>OK</v>
      </c>
      <c r="AL204" t="str">
        <f t="shared" si="54"/>
        <v>OK</v>
      </c>
      <c r="AM204" t="str">
        <f t="shared" si="55"/>
        <v>OK</v>
      </c>
      <c r="AN204" t="str">
        <f t="shared" si="56"/>
        <v>OK</v>
      </c>
      <c r="AO204" t="str">
        <f t="shared" si="57"/>
        <v>OK</v>
      </c>
      <c r="AP204" t="str">
        <f t="shared" si="58"/>
        <v>OK</v>
      </c>
      <c r="AQ204" t="str">
        <f t="shared" si="59"/>
        <v>OK</v>
      </c>
    </row>
    <row r="205" spans="1:43" x14ac:dyDescent="0.3">
      <c r="A205" t="s">
        <v>904</v>
      </c>
      <c r="B205" s="1">
        <v>45619</v>
      </c>
      <c r="C205" t="s">
        <v>905</v>
      </c>
      <c r="D205" t="s">
        <v>25</v>
      </c>
      <c r="E205" t="s">
        <v>906</v>
      </c>
      <c r="F205" t="s">
        <v>62</v>
      </c>
      <c r="G205" t="s">
        <v>907</v>
      </c>
      <c r="H205">
        <v>6799</v>
      </c>
      <c r="I205">
        <v>1</v>
      </c>
      <c r="J205">
        <v>6799</v>
      </c>
      <c r="K205" t="s">
        <v>29</v>
      </c>
      <c r="L205">
        <v>0</v>
      </c>
      <c r="M205" t="s">
        <v>30</v>
      </c>
      <c r="N205" t="s">
        <v>66</v>
      </c>
      <c r="O205" t="s">
        <v>78</v>
      </c>
      <c r="P205" t="s">
        <v>79</v>
      </c>
      <c r="Q205" t="s">
        <v>57</v>
      </c>
      <c r="R205" s="1">
        <v>45636</v>
      </c>
      <c r="S205" t="s">
        <v>34</v>
      </c>
      <c r="T205" t="s">
        <v>47</v>
      </c>
      <c r="U205" t="s">
        <v>48</v>
      </c>
      <c r="V205" s="1">
        <v>45665</v>
      </c>
      <c r="W205" t="s">
        <v>49</v>
      </c>
      <c r="AB205" s="2">
        <f t="shared" si="45"/>
        <v>1</v>
      </c>
      <c r="AC205">
        <f t="shared" si="46"/>
        <v>0</v>
      </c>
      <c r="AD205">
        <f t="shared" si="47"/>
        <v>2</v>
      </c>
      <c r="AE205" t="str">
        <f t="shared" si="48"/>
        <v>OK</v>
      </c>
      <c r="AF205" t="str">
        <f t="shared" si="49"/>
        <v>OK</v>
      </c>
      <c r="AG205" t="str">
        <f t="shared" si="50"/>
        <v>OK</v>
      </c>
      <c r="AI205" t="str">
        <f t="shared" si="51"/>
        <v>ERROR</v>
      </c>
      <c r="AJ205" t="str">
        <f t="shared" si="52"/>
        <v>OK</v>
      </c>
      <c r="AK205" t="str">
        <f t="shared" si="53"/>
        <v>OK</v>
      </c>
      <c r="AL205" t="str">
        <f t="shared" si="54"/>
        <v>OK</v>
      </c>
      <c r="AM205" t="str">
        <f t="shared" si="55"/>
        <v>OK</v>
      </c>
      <c r="AN205" t="str">
        <f t="shared" si="56"/>
        <v>OK</v>
      </c>
      <c r="AO205" t="str">
        <f t="shared" si="57"/>
        <v>OK</v>
      </c>
      <c r="AP205" t="str">
        <f t="shared" si="58"/>
        <v>OK</v>
      </c>
      <c r="AQ205" t="str">
        <f t="shared" si="59"/>
        <v>OK</v>
      </c>
    </row>
    <row r="206" spans="1:43" x14ac:dyDescent="0.3">
      <c r="A206" t="s">
        <v>908</v>
      </c>
      <c r="B206" s="1">
        <v>45620</v>
      </c>
      <c r="C206" t="s">
        <v>909</v>
      </c>
      <c r="D206" t="s">
        <v>25</v>
      </c>
      <c r="E206" t="s">
        <v>910</v>
      </c>
      <c r="F206" t="s">
        <v>72</v>
      </c>
      <c r="G206" t="s">
        <v>911</v>
      </c>
      <c r="H206">
        <v>1499</v>
      </c>
      <c r="I206">
        <v>1</v>
      </c>
      <c r="J206">
        <v>1499</v>
      </c>
      <c r="K206" t="s">
        <v>704</v>
      </c>
      <c r="L206">
        <v>15</v>
      </c>
      <c r="M206" t="s">
        <v>112</v>
      </c>
      <c r="N206" t="s">
        <v>31</v>
      </c>
      <c r="O206" t="s">
        <v>85</v>
      </c>
      <c r="P206" t="s">
        <v>33</v>
      </c>
      <c r="Q206" t="s">
        <v>32</v>
      </c>
      <c r="R206" s="1">
        <v>45634</v>
      </c>
      <c r="S206" t="s">
        <v>34</v>
      </c>
      <c r="T206" t="s">
        <v>35</v>
      </c>
      <c r="U206" t="s">
        <v>29</v>
      </c>
      <c r="V206" s="1"/>
      <c r="W206" t="s">
        <v>36</v>
      </c>
      <c r="AB206" s="2">
        <f t="shared" si="45"/>
        <v>1</v>
      </c>
      <c r="AC206">
        <f t="shared" si="46"/>
        <v>0</v>
      </c>
      <c r="AD206">
        <f t="shared" si="47"/>
        <v>2</v>
      </c>
      <c r="AE206" t="str">
        <f t="shared" si="48"/>
        <v>OK</v>
      </c>
      <c r="AF206" t="str">
        <f t="shared" si="49"/>
        <v>OK</v>
      </c>
      <c r="AG206" t="str">
        <f t="shared" si="50"/>
        <v>OK</v>
      </c>
      <c r="AI206" t="str">
        <f t="shared" si="51"/>
        <v>ERROR</v>
      </c>
      <c r="AJ206" t="str">
        <f t="shared" si="52"/>
        <v>OK</v>
      </c>
      <c r="AK206" t="str">
        <f t="shared" si="53"/>
        <v>OK</v>
      </c>
      <c r="AL206" t="str">
        <f t="shared" si="54"/>
        <v>OK</v>
      </c>
      <c r="AM206" t="str">
        <f t="shared" si="55"/>
        <v>ERROR</v>
      </c>
      <c r="AN206" t="str">
        <f t="shared" si="56"/>
        <v>OK</v>
      </c>
      <c r="AO206" t="str">
        <f t="shared" si="57"/>
        <v>OK</v>
      </c>
      <c r="AP206" t="str">
        <f t="shared" si="58"/>
        <v>OK</v>
      </c>
      <c r="AQ206" t="str">
        <f t="shared" si="59"/>
        <v>OK</v>
      </c>
    </row>
    <row r="207" spans="1:43" x14ac:dyDescent="0.3">
      <c r="A207" t="s">
        <v>912</v>
      </c>
      <c r="B207" s="1">
        <v>45620</v>
      </c>
      <c r="C207" t="s">
        <v>913</v>
      </c>
      <c r="D207" t="s">
        <v>25</v>
      </c>
      <c r="E207" t="s">
        <v>914</v>
      </c>
      <c r="F207" t="s">
        <v>27</v>
      </c>
      <c r="G207" t="s">
        <v>915</v>
      </c>
      <c r="H207">
        <v>2299</v>
      </c>
      <c r="I207">
        <v>1</v>
      </c>
      <c r="J207">
        <v>2299</v>
      </c>
      <c r="K207" t="s">
        <v>29</v>
      </c>
      <c r="L207">
        <v>0</v>
      </c>
      <c r="M207" t="s">
        <v>65</v>
      </c>
      <c r="N207" t="s">
        <v>45</v>
      </c>
      <c r="O207" t="s">
        <v>97</v>
      </c>
      <c r="P207" t="s">
        <v>98</v>
      </c>
      <c r="Q207" t="s">
        <v>32</v>
      </c>
      <c r="R207" s="1">
        <v>45635</v>
      </c>
      <c r="S207" t="s">
        <v>34</v>
      </c>
      <c r="T207" t="s">
        <v>47</v>
      </c>
      <c r="U207" t="s">
        <v>105</v>
      </c>
      <c r="V207" s="1">
        <v>45664</v>
      </c>
      <c r="W207" t="s">
        <v>49</v>
      </c>
      <c r="AB207" s="2">
        <f t="shared" si="45"/>
        <v>1</v>
      </c>
      <c r="AC207">
        <f t="shared" si="46"/>
        <v>0</v>
      </c>
      <c r="AD207">
        <f t="shared" si="47"/>
        <v>2</v>
      </c>
      <c r="AE207" t="str">
        <f t="shared" si="48"/>
        <v>OK</v>
      </c>
      <c r="AF207" t="str">
        <f t="shared" si="49"/>
        <v>OK</v>
      </c>
      <c r="AG207" t="str">
        <f t="shared" si="50"/>
        <v>OK</v>
      </c>
      <c r="AI207" t="str">
        <f t="shared" si="51"/>
        <v>ERROR</v>
      </c>
      <c r="AJ207" t="str">
        <f t="shared" si="52"/>
        <v>OK</v>
      </c>
      <c r="AK207" t="str">
        <f t="shared" si="53"/>
        <v>OK</v>
      </c>
      <c r="AL207" t="str">
        <f t="shared" si="54"/>
        <v>OK</v>
      </c>
      <c r="AM207" t="str">
        <f t="shared" si="55"/>
        <v>OK</v>
      </c>
      <c r="AN207" t="str">
        <f t="shared" si="56"/>
        <v>OK</v>
      </c>
      <c r="AO207" t="str">
        <f t="shared" si="57"/>
        <v>OK</v>
      </c>
      <c r="AP207" t="str">
        <f t="shared" si="58"/>
        <v>OK</v>
      </c>
      <c r="AQ207" t="str">
        <f t="shared" si="59"/>
        <v>OK</v>
      </c>
    </row>
    <row r="208" spans="1:43" x14ac:dyDescent="0.3">
      <c r="A208" t="s">
        <v>916</v>
      </c>
      <c r="B208" s="1">
        <v>45620</v>
      </c>
      <c r="C208" t="s">
        <v>917</v>
      </c>
      <c r="D208" t="s">
        <v>25</v>
      </c>
      <c r="E208" t="s">
        <v>918</v>
      </c>
      <c r="F208" t="s">
        <v>41</v>
      </c>
      <c r="G208" t="s">
        <v>919</v>
      </c>
      <c r="H208">
        <v>4999</v>
      </c>
      <c r="I208">
        <v>1</v>
      </c>
      <c r="J208">
        <v>4999</v>
      </c>
      <c r="K208" t="s">
        <v>29</v>
      </c>
      <c r="L208">
        <v>0</v>
      </c>
      <c r="M208" t="s">
        <v>44</v>
      </c>
      <c r="N208" t="s">
        <v>66</v>
      </c>
      <c r="O208" t="s">
        <v>103</v>
      </c>
      <c r="P208" t="s">
        <v>104</v>
      </c>
      <c r="Q208" t="s">
        <v>46</v>
      </c>
      <c r="R208" s="1">
        <v>45637</v>
      </c>
      <c r="S208" t="s">
        <v>34</v>
      </c>
      <c r="T208" t="s">
        <v>35</v>
      </c>
      <c r="U208" t="s">
        <v>29</v>
      </c>
      <c r="V208" s="1"/>
      <c r="W208" t="s">
        <v>36</v>
      </c>
      <c r="AB208" s="2">
        <f t="shared" si="45"/>
        <v>1</v>
      </c>
      <c r="AC208">
        <f t="shared" si="46"/>
        <v>0</v>
      </c>
      <c r="AD208">
        <f t="shared" si="47"/>
        <v>2</v>
      </c>
      <c r="AE208" t="str">
        <f t="shared" si="48"/>
        <v>OK</v>
      </c>
      <c r="AF208" t="str">
        <f t="shared" si="49"/>
        <v>OK</v>
      </c>
      <c r="AG208" t="str">
        <f t="shared" si="50"/>
        <v>OK</v>
      </c>
      <c r="AI208" t="str">
        <f t="shared" si="51"/>
        <v>ERROR</v>
      </c>
      <c r="AJ208" t="str">
        <f t="shared" si="52"/>
        <v>OK</v>
      </c>
      <c r="AK208" t="str">
        <f t="shared" si="53"/>
        <v>OK</v>
      </c>
      <c r="AL208" t="str">
        <f t="shared" si="54"/>
        <v>OK</v>
      </c>
      <c r="AM208" t="str">
        <f t="shared" si="55"/>
        <v>ERROR</v>
      </c>
      <c r="AN208" t="str">
        <f t="shared" si="56"/>
        <v>OK</v>
      </c>
      <c r="AO208" t="str">
        <f t="shared" si="57"/>
        <v>OK</v>
      </c>
      <c r="AP208" t="str">
        <f t="shared" si="58"/>
        <v>OK</v>
      </c>
      <c r="AQ208" t="str">
        <f t="shared" si="59"/>
        <v>OK</v>
      </c>
    </row>
    <row r="209" spans="1:43" x14ac:dyDescent="0.3">
      <c r="A209" t="s">
        <v>920</v>
      </c>
      <c r="B209" s="1">
        <v>45621</v>
      </c>
      <c r="C209" t="s">
        <v>921</v>
      </c>
      <c r="D209" t="s">
        <v>39</v>
      </c>
      <c r="E209" t="s">
        <v>922</v>
      </c>
      <c r="F209" t="s">
        <v>54</v>
      </c>
      <c r="G209" t="s">
        <v>923</v>
      </c>
      <c r="H209">
        <v>2099</v>
      </c>
      <c r="I209">
        <v>1</v>
      </c>
      <c r="J209">
        <v>2099</v>
      </c>
      <c r="K209" t="s">
        <v>29</v>
      </c>
      <c r="L209">
        <v>0</v>
      </c>
      <c r="M209" t="s">
        <v>30</v>
      </c>
      <c r="N209" t="s">
        <v>31</v>
      </c>
      <c r="O209" t="s">
        <v>113</v>
      </c>
      <c r="P209" t="s">
        <v>114</v>
      </c>
      <c r="Q209" t="s">
        <v>46</v>
      </c>
      <c r="R209" s="1">
        <v>45635</v>
      </c>
      <c r="S209" t="s">
        <v>34</v>
      </c>
      <c r="T209" t="s">
        <v>47</v>
      </c>
      <c r="U209" t="s">
        <v>80</v>
      </c>
      <c r="V209" s="1">
        <v>45663</v>
      </c>
      <c r="W209" t="s">
        <v>49</v>
      </c>
      <c r="AB209" s="2">
        <f t="shared" si="45"/>
        <v>1</v>
      </c>
      <c r="AC209">
        <f t="shared" si="46"/>
        <v>0</v>
      </c>
      <c r="AD209">
        <f t="shared" si="47"/>
        <v>2</v>
      </c>
      <c r="AE209" t="str">
        <f t="shared" si="48"/>
        <v>OK</v>
      </c>
      <c r="AF209" t="str">
        <f t="shared" si="49"/>
        <v>OK</v>
      </c>
      <c r="AG209" t="str">
        <f t="shared" si="50"/>
        <v>OK</v>
      </c>
      <c r="AI209" t="str">
        <f t="shared" si="51"/>
        <v>ERROR</v>
      </c>
      <c r="AJ209" t="str">
        <f t="shared" si="52"/>
        <v>OK</v>
      </c>
      <c r="AK209" t="str">
        <f t="shared" si="53"/>
        <v>OK</v>
      </c>
      <c r="AL209" t="str">
        <f t="shared" si="54"/>
        <v>OK</v>
      </c>
      <c r="AM209" t="str">
        <f t="shared" si="55"/>
        <v>OK</v>
      </c>
      <c r="AN209" t="str">
        <f t="shared" si="56"/>
        <v>OK</v>
      </c>
      <c r="AO209" t="str">
        <f t="shared" si="57"/>
        <v>OK</v>
      </c>
      <c r="AP209" t="str">
        <f t="shared" si="58"/>
        <v>OK</v>
      </c>
      <c r="AQ209" t="str">
        <f t="shared" si="59"/>
        <v>OK</v>
      </c>
    </row>
    <row r="210" spans="1:43" x14ac:dyDescent="0.3">
      <c r="A210" t="s">
        <v>924</v>
      </c>
      <c r="B210" s="1">
        <v>45621</v>
      </c>
      <c r="C210" t="s">
        <v>925</v>
      </c>
      <c r="D210" t="s">
        <v>25</v>
      </c>
      <c r="E210" t="s">
        <v>926</v>
      </c>
      <c r="F210" t="s">
        <v>62</v>
      </c>
      <c r="G210" t="s">
        <v>927</v>
      </c>
      <c r="H210">
        <v>5799</v>
      </c>
      <c r="I210">
        <v>1</v>
      </c>
      <c r="J210">
        <v>5799</v>
      </c>
      <c r="K210" t="s">
        <v>704</v>
      </c>
      <c r="L210">
        <v>15</v>
      </c>
      <c r="M210" t="s">
        <v>56</v>
      </c>
      <c r="N210" t="s">
        <v>45</v>
      </c>
      <c r="O210" t="s">
        <v>57</v>
      </c>
      <c r="P210" t="s">
        <v>58</v>
      </c>
      <c r="Q210" t="s">
        <v>57</v>
      </c>
      <c r="R210" s="1">
        <v>45638</v>
      </c>
      <c r="S210" t="s">
        <v>34</v>
      </c>
      <c r="T210" t="s">
        <v>47</v>
      </c>
      <c r="U210" t="s">
        <v>48</v>
      </c>
      <c r="V210" s="1">
        <v>45667</v>
      </c>
      <c r="W210" t="s">
        <v>49</v>
      </c>
      <c r="AB210" s="2">
        <f t="shared" si="45"/>
        <v>1</v>
      </c>
      <c r="AC210">
        <f t="shared" si="46"/>
        <v>0</v>
      </c>
      <c r="AD210">
        <f t="shared" si="47"/>
        <v>2</v>
      </c>
      <c r="AE210" t="str">
        <f t="shared" si="48"/>
        <v>OK</v>
      </c>
      <c r="AF210" t="str">
        <f t="shared" si="49"/>
        <v>OK</v>
      </c>
      <c r="AG210" t="str">
        <f t="shared" si="50"/>
        <v>OK</v>
      </c>
      <c r="AI210" t="str">
        <f t="shared" si="51"/>
        <v>ERROR</v>
      </c>
      <c r="AJ210" t="str">
        <f t="shared" si="52"/>
        <v>OK</v>
      </c>
      <c r="AK210" t="str">
        <f t="shared" si="53"/>
        <v>OK</v>
      </c>
      <c r="AL210" t="str">
        <f t="shared" si="54"/>
        <v>OK</v>
      </c>
      <c r="AM210" t="str">
        <f t="shared" si="55"/>
        <v>OK</v>
      </c>
      <c r="AN210" t="str">
        <f t="shared" si="56"/>
        <v>OK</v>
      </c>
      <c r="AO210" t="str">
        <f t="shared" si="57"/>
        <v>OK</v>
      </c>
      <c r="AP210" t="str">
        <f t="shared" si="58"/>
        <v>OK</v>
      </c>
      <c r="AQ210" t="str">
        <f t="shared" si="59"/>
        <v>OK</v>
      </c>
    </row>
    <row r="211" spans="1:43" x14ac:dyDescent="0.3">
      <c r="A211" t="s">
        <v>928</v>
      </c>
      <c r="B211" s="1">
        <v>45621</v>
      </c>
      <c r="C211" t="s">
        <v>929</v>
      </c>
      <c r="D211" t="s">
        <v>25</v>
      </c>
      <c r="E211" t="s">
        <v>930</v>
      </c>
      <c r="F211" t="s">
        <v>72</v>
      </c>
      <c r="G211" t="s">
        <v>931</v>
      </c>
      <c r="H211">
        <v>1199</v>
      </c>
      <c r="I211">
        <v>1</v>
      </c>
      <c r="J211">
        <v>1199</v>
      </c>
      <c r="K211" t="s">
        <v>29</v>
      </c>
      <c r="L211">
        <v>0</v>
      </c>
      <c r="M211" t="s">
        <v>44</v>
      </c>
      <c r="N211" t="s">
        <v>66</v>
      </c>
      <c r="O211" t="s">
        <v>32</v>
      </c>
      <c r="P211" t="s">
        <v>33</v>
      </c>
      <c r="Q211" t="s">
        <v>32</v>
      </c>
      <c r="R211" s="1">
        <v>45636</v>
      </c>
      <c r="S211" t="s">
        <v>34</v>
      </c>
      <c r="T211" t="s">
        <v>35</v>
      </c>
      <c r="U211" t="s">
        <v>29</v>
      </c>
      <c r="V211" s="1"/>
      <c r="W211" t="s">
        <v>36</v>
      </c>
      <c r="AB211" s="2">
        <f t="shared" si="45"/>
        <v>1</v>
      </c>
      <c r="AC211">
        <f t="shared" si="46"/>
        <v>0</v>
      </c>
      <c r="AD211">
        <f t="shared" si="47"/>
        <v>2</v>
      </c>
      <c r="AE211" t="str">
        <f t="shared" si="48"/>
        <v>OK</v>
      </c>
      <c r="AF211" t="str">
        <f t="shared" si="49"/>
        <v>OK</v>
      </c>
      <c r="AG211" t="str">
        <f t="shared" si="50"/>
        <v>OK</v>
      </c>
      <c r="AI211" t="str">
        <f t="shared" si="51"/>
        <v>ERROR</v>
      </c>
      <c r="AJ211" t="str">
        <f t="shared" si="52"/>
        <v>OK</v>
      </c>
      <c r="AK211" t="str">
        <f t="shared" si="53"/>
        <v>OK</v>
      </c>
      <c r="AL211" t="str">
        <f t="shared" si="54"/>
        <v>OK</v>
      </c>
      <c r="AM211" t="str">
        <f t="shared" si="55"/>
        <v>ERROR</v>
      </c>
      <c r="AN211" t="str">
        <f t="shared" si="56"/>
        <v>OK</v>
      </c>
      <c r="AO211" t="str">
        <f t="shared" si="57"/>
        <v>OK</v>
      </c>
      <c r="AP211" t="str">
        <f t="shared" si="58"/>
        <v>OK</v>
      </c>
      <c r="AQ211" t="str">
        <f t="shared" si="59"/>
        <v>OK</v>
      </c>
    </row>
    <row r="212" spans="1:43" x14ac:dyDescent="0.3">
      <c r="A212" t="s">
        <v>932</v>
      </c>
      <c r="B212" s="1">
        <v>45622</v>
      </c>
      <c r="C212" t="s">
        <v>933</v>
      </c>
      <c r="D212" t="s">
        <v>25</v>
      </c>
      <c r="E212" t="s">
        <v>934</v>
      </c>
      <c r="F212" t="s">
        <v>27</v>
      </c>
      <c r="G212" t="s">
        <v>935</v>
      </c>
      <c r="H212">
        <v>1899</v>
      </c>
      <c r="I212">
        <v>1</v>
      </c>
      <c r="J212">
        <v>1899</v>
      </c>
      <c r="K212" t="s">
        <v>29</v>
      </c>
      <c r="L212">
        <v>0</v>
      </c>
      <c r="M212" t="s">
        <v>112</v>
      </c>
      <c r="N212" t="s">
        <v>31</v>
      </c>
      <c r="O212" t="s">
        <v>46</v>
      </c>
      <c r="P212" t="s">
        <v>46</v>
      </c>
      <c r="Q212" t="s">
        <v>46</v>
      </c>
      <c r="R212" s="1">
        <v>45637</v>
      </c>
      <c r="S212" t="s">
        <v>34</v>
      </c>
      <c r="T212" t="s">
        <v>47</v>
      </c>
      <c r="U212" t="s">
        <v>139</v>
      </c>
      <c r="V212" s="1">
        <v>45665</v>
      </c>
      <c r="W212" t="s">
        <v>49</v>
      </c>
      <c r="AB212" s="2">
        <f t="shared" si="45"/>
        <v>1</v>
      </c>
      <c r="AC212">
        <f t="shared" si="46"/>
        <v>0</v>
      </c>
      <c r="AD212">
        <f t="shared" si="47"/>
        <v>2</v>
      </c>
      <c r="AE212" t="str">
        <f t="shared" si="48"/>
        <v>OK</v>
      </c>
      <c r="AF212" t="str">
        <f t="shared" si="49"/>
        <v>OK</v>
      </c>
      <c r="AG212" t="str">
        <f t="shared" si="50"/>
        <v>OK</v>
      </c>
      <c r="AI212" t="str">
        <f t="shared" si="51"/>
        <v>ERROR</v>
      </c>
      <c r="AJ212" t="str">
        <f t="shared" si="52"/>
        <v>OK</v>
      </c>
      <c r="AK212" t="str">
        <f t="shared" si="53"/>
        <v>OK</v>
      </c>
      <c r="AL212" t="str">
        <f t="shared" si="54"/>
        <v>OK</v>
      </c>
      <c r="AM212" t="str">
        <f t="shared" si="55"/>
        <v>OK</v>
      </c>
      <c r="AN212" t="str">
        <f t="shared" si="56"/>
        <v>OK</v>
      </c>
      <c r="AO212" t="str">
        <f t="shared" si="57"/>
        <v>OK</v>
      </c>
      <c r="AP212" t="str">
        <f t="shared" si="58"/>
        <v>OK</v>
      </c>
      <c r="AQ212" t="str">
        <f t="shared" si="59"/>
        <v>OK</v>
      </c>
    </row>
    <row r="213" spans="1:43" x14ac:dyDescent="0.3">
      <c r="A213" t="s">
        <v>936</v>
      </c>
      <c r="B213" s="1">
        <v>45622</v>
      </c>
      <c r="C213" t="s">
        <v>937</v>
      </c>
      <c r="D213" t="s">
        <v>25</v>
      </c>
      <c r="E213" t="s">
        <v>938</v>
      </c>
      <c r="F213" t="s">
        <v>41</v>
      </c>
      <c r="G213" t="s">
        <v>939</v>
      </c>
      <c r="H213">
        <v>3699</v>
      </c>
      <c r="I213">
        <v>1</v>
      </c>
      <c r="J213">
        <v>3699</v>
      </c>
      <c r="K213" t="s">
        <v>29</v>
      </c>
      <c r="L213">
        <v>0</v>
      </c>
      <c r="M213" t="s">
        <v>65</v>
      </c>
      <c r="N213" t="s">
        <v>45</v>
      </c>
      <c r="O213" t="s">
        <v>119</v>
      </c>
      <c r="P213" t="s">
        <v>120</v>
      </c>
      <c r="Q213" t="s">
        <v>46</v>
      </c>
      <c r="R213" s="1">
        <v>45639</v>
      </c>
      <c r="S213" t="s">
        <v>34</v>
      </c>
      <c r="T213" t="s">
        <v>35</v>
      </c>
      <c r="U213" t="s">
        <v>29</v>
      </c>
      <c r="V213" s="1"/>
      <c r="W213" t="s">
        <v>36</v>
      </c>
      <c r="AB213" s="2">
        <f t="shared" si="45"/>
        <v>1</v>
      </c>
      <c r="AC213">
        <f t="shared" si="46"/>
        <v>0</v>
      </c>
      <c r="AD213">
        <f t="shared" si="47"/>
        <v>2</v>
      </c>
      <c r="AE213" t="str">
        <f t="shared" si="48"/>
        <v>OK</v>
      </c>
      <c r="AF213" t="str">
        <f t="shared" si="49"/>
        <v>OK</v>
      </c>
      <c r="AG213" t="str">
        <f t="shared" si="50"/>
        <v>OK</v>
      </c>
      <c r="AI213" t="str">
        <f t="shared" si="51"/>
        <v>ERROR</v>
      </c>
      <c r="AJ213" t="str">
        <f t="shared" si="52"/>
        <v>OK</v>
      </c>
      <c r="AK213" t="str">
        <f t="shared" si="53"/>
        <v>OK</v>
      </c>
      <c r="AL213" t="str">
        <f t="shared" si="54"/>
        <v>OK</v>
      </c>
      <c r="AM213" t="str">
        <f t="shared" si="55"/>
        <v>ERROR</v>
      </c>
      <c r="AN213" t="str">
        <f t="shared" si="56"/>
        <v>OK</v>
      </c>
      <c r="AO213" t="str">
        <f t="shared" si="57"/>
        <v>OK</v>
      </c>
      <c r="AP213" t="str">
        <f t="shared" si="58"/>
        <v>OK</v>
      </c>
      <c r="AQ213" t="str">
        <f t="shared" si="59"/>
        <v>OK</v>
      </c>
    </row>
    <row r="214" spans="1:43" x14ac:dyDescent="0.3">
      <c r="A214" t="s">
        <v>940</v>
      </c>
      <c r="B214" s="1">
        <v>45622</v>
      </c>
      <c r="C214" t="s">
        <v>941</v>
      </c>
      <c r="D214" t="s">
        <v>39</v>
      </c>
      <c r="E214" t="s">
        <v>942</v>
      </c>
      <c r="F214" t="s">
        <v>54</v>
      </c>
      <c r="G214" t="s">
        <v>943</v>
      </c>
      <c r="H214">
        <v>2699</v>
      </c>
      <c r="I214">
        <v>1</v>
      </c>
      <c r="J214">
        <v>2699</v>
      </c>
      <c r="K214" t="s">
        <v>704</v>
      </c>
      <c r="L214">
        <v>15</v>
      </c>
      <c r="M214" t="s">
        <v>30</v>
      </c>
      <c r="N214" t="s">
        <v>66</v>
      </c>
      <c r="O214" t="s">
        <v>138</v>
      </c>
      <c r="P214" t="s">
        <v>114</v>
      </c>
      <c r="Q214" t="s">
        <v>46</v>
      </c>
      <c r="R214" s="1">
        <v>45637</v>
      </c>
      <c r="S214" t="s">
        <v>34</v>
      </c>
      <c r="T214" t="s">
        <v>47</v>
      </c>
      <c r="U214" t="s">
        <v>69</v>
      </c>
      <c r="V214" s="1">
        <v>45666</v>
      </c>
      <c r="W214" t="s">
        <v>49</v>
      </c>
      <c r="AB214" s="2">
        <f t="shared" si="45"/>
        <v>1</v>
      </c>
      <c r="AC214">
        <f t="shared" si="46"/>
        <v>0</v>
      </c>
      <c r="AD214">
        <f t="shared" si="47"/>
        <v>2</v>
      </c>
      <c r="AE214" t="str">
        <f t="shared" si="48"/>
        <v>OK</v>
      </c>
      <c r="AF214" t="str">
        <f t="shared" si="49"/>
        <v>OK</v>
      </c>
      <c r="AG214" t="str">
        <f t="shared" si="50"/>
        <v>OK</v>
      </c>
      <c r="AI214" t="str">
        <f t="shared" si="51"/>
        <v>ERROR</v>
      </c>
      <c r="AJ214" t="str">
        <f t="shared" si="52"/>
        <v>OK</v>
      </c>
      <c r="AK214" t="str">
        <f t="shared" si="53"/>
        <v>OK</v>
      </c>
      <c r="AL214" t="str">
        <f t="shared" si="54"/>
        <v>OK</v>
      </c>
      <c r="AM214" t="str">
        <f t="shared" si="55"/>
        <v>OK</v>
      </c>
      <c r="AN214" t="str">
        <f t="shared" si="56"/>
        <v>OK</v>
      </c>
      <c r="AO214" t="str">
        <f t="shared" si="57"/>
        <v>OK</v>
      </c>
      <c r="AP214" t="str">
        <f t="shared" si="58"/>
        <v>OK</v>
      </c>
      <c r="AQ214" t="str">
        <f t="shared" si="59"/>
        <v>OK</v>
      </c>
    </row>
    <row r="215" spans="1:43" x14ac:dyDescent="0.3">
      <c r="A215" t="s">
        <v>944</v>
      </c>
      <c r="B215" s="1">
        <v>45623</v>
      </c>
      <c r="C215" t="s">
        <v>945</v>
      </c>
      <c r="D215" t="s">
        <v>25</v>
      </c>
      <c r="E215" t="s">
        <v>946</v>
      </c>
      <c r="F215" t="s">
        <v>62</v>
      </c>
      <c r="G215" t="s">
        <v>947</v>
      </c>
      <c r="H215">
        <v>4999</v>
      </c>
      <c r="I215">
        <v>1</v>
      </c>
      <c r="J215">
        <v>4999</v>
      </c>
      <c r="K215" t="s">
        <v>29</v>
      </c>
      <c r="L215">
        <v>0</v>
      </c>
      <c r="M215" t="s">
        <v>44</v>
      </c>
      <c r="N215" t="s">
        <v>31</v>
      </c>
      <c r="O215" t="s">
        <v>144</v>
      </c>
      <c r="P215" t="s">
        <v>145</v>
      </c>
      <c r="Q215" t="s">
        <v>46</v>
      </c>
      <c r="R215" s="1">
        <v>45640</v>
      </c>
      <c r="S215" t="s">
        <v>34</v>
      </c>
      <c r="T215" t="s">
        <v>47</v>
      </c>
      <c r="U215" t="s">
        <v>48</v>
      </c>
      <c r="V215" s="1">
        <v>45669</v>
      </c>
      <c r="W215" t="s">
        <v>49</v>
      </c>
      <c r="AB215" s="2">
        <f t="shared" si="45"/>
        <v>1</v>
      </c>
      <c r="AC215">
        <f t="shared" si="46"/>
        <v>0</v>
      </c>
      <c r="AD215">
        <f t="shared" si="47"/>
        <v>2</v>
      </c>
      <c r="AE215" t="str">
        <f t="shared" si="48"/>
        <v>OK</v>
      </c>
      <c r="AF215" t="str">
        <f t="shared" si="49"/>
        <v>OK</v>
      </c>
      <c r="AG215" t="str">
        <f t="shared" si="50"/>
        <v>OK</v>
      </c>
      <c r="AI215" t="str">
        <f t="shared" si="51"/>
        <v>ERROR</v>
      </c>
      <c r="AJ215" t="str">
        <f t="shared" si="52"/>
        <v>OK</v>
      </c>
      <c r="AK215" t="str">
        <f t="shared" si="53"/>
        <v>OK</v>
      </c>
      <c r="AL215" t="str">
        <f t="shared" si="54"/>
        <v>OK</v>
      </c>
      <c r="AM215" t="str">
        <f t="shared" si="55"/>
        <v>OK</v>
      </c>
      <c r="AN215" t="str">
        <f t="shared" si="56"/>
        <v>OK</v>
      </c>
      <c r="AO215" t="str">
        <f t="shared" si="57"/>
        <v>OK</v>
      </c>
      <c r="AP215" t="str">
        <f t="shared" si="58"/>
        <v>OK</v>
      </c>
      <c r="AQ215" t="str">
        <f t="shared" si="59"/>
        <v>OK</v>
      </c>
    </row>
    <row r="216" spans="1:43" x14ac:dyDescent="0.3">
      <c r="A216" t="s">
        <v>948</v>
      </c>
      <c r="B216" s="1">
        <v>45623</v>
      </c>
      <c r="C216" t="s">
        <v>949</v>
      </c>
      <c r="D216" t="s">
        <v>25</v>
      </c>
      <c r="E216" t="s">
        <v>950</v>
      </c>
      <c r="F216" t="s">
        <v>72</v>
      </c>
      <c r="G216" t="s">
        <v>951</v>
      </c>
      <c r="H216">
        <v>899</v>
      </c>
      <c r="I216">
        <v>2</v>
      </c>
      <c r="J216">
        <v>1798</v>
      </c>
      <c r="K216" t="s">
        <v>29</v>
      </c>
      <c r="L216">
        <v>0</v>
      </c>
      <c r="M216" t="s">
        <v>56</v>
      </c>
      <c r="N216" t="s">
        <v>45</v>
      </c>
      <c r="O216" t="s">
        <v>151</v>
      </c>
      <c r="P216" t="s">
        <v>152</v>
      </c>
      <c r="Q216" t="s">
        <v>32</v>
      </c>
      <c r="R216" s="1">
        <v>45638</v>
      </c>
      <c r="S216" t="s">
        <v>34</v>
      </c>
      <c r="T216" t="s">
        <v>35</v>
      </c>
      <c r="U216" t="s">
        <v>29</v>
      </c>
      <c r="V216" s="1"/>
      <c r="W216" t="s">
        <v>36</v>
      </c>
      <c r="AB216" s="2">
        <f t="shared" si="45"/>
        <v>1</v>
      </c>
      <c r="AC216">
        <f t="shared" si="46"/>
        <v>0</v>
      </c>
      <c r="AD216">
        <f t="shared" si="47"/>
        <v>2</v>
      </c>
      <c r="AE216" t="str">
        <f t="shared" si="48"/>
        <v>OK</v>
      </c>
      <c r="AF216" t="str">
        <f t="shared" si="49"/>
        <v>OK</v>
      </c>
      <c r="AG216" t="str">
        <f t="shared" si="50"/>
        <v>OK</v>
      </c>
      <c r="AI216" t="str">
        <f t="shared" si="51"/>
        <v>ERROR</v>
      </c>
      <c r="AJ216" t="str">
        <f t="shared" si="52"/>
        <v>OK</v>
      </c>
      <c r="AK216" t="str">
        <f t="shared" si="53"/>
        <v>OK</v>
      </c>
      <c r="AL216" t="str">
        <f t="shared" si="54"/>
        <v>OK</v>
      </c>
      <c r="AM216" t="str">
        <f t="shared" si="55"/>
        <v>ERROR</v>
      </c>
      <c r="AN216" t="str">
        <f t="shared" si="56"/>
        <v>OK</v>
      </c>
      <c r="AO216" t="str">
        <f t="shared" si="57"/>
        <v>OK</v>
      </c>
      <c r="AP216" t="str">
        <f t="shared" si="58"/>
        <v>OK</v>
      </c>
      <c r="AQ216" t="str">
        <f t="shared" si="59"/>
        <v>OK</v>
      </c>
    </row>
    <row r="217" spans="1:43" x14ac:dyDescent="0.3">
      <c r="A217" t="s">
        <v>952</v>
      </c>
      <c r="B217" s="1">
        <v>45623</v>
      </c>
      <c r="C217" t="s">
        <v>953</v>
      </c>
      <c r="D217" t="s">
        <v>25</v>
      </c>
      <c r="E217" t="s">
        <v>954</v>
      </c>
      <c r="F217" t="s">
        <v>27</v>
      </c>
      <c r="G217" t="s">
        <v>955</v>
      </c>
      <c r="H217">
        <v>1599</v>
      </c>
      <c r="I217">
        <v>1</v>
      </c>
      <c r="J217">
        <v>1599</v>
      </c>
      <c r="K217" t="s">
        <v>29</v>
      </c>
      <c r="L217">
        <v>0</v>
      </c>
      <c r="M217" t="s">
        <v>30</v>
      </c>
      <c r="N217" t="s">
        <v>66</v>
      </c>
      <c r="O217" t="s">
        <v>157</v>
      </c>
      <c r="P217" t="s">
        <v>98</v>
      </c>
      <c r="Q217" t="s">
        <v>32</v>
      </c>
      <c r="R217" s="1">
        <v>45639</v>
      </c>
      <c r="S217" t="s">
        <v>34</v>
      </c>
      <c r="T217" t="s">
        <v>47</v>
      </c>
      <c r="U217" t="s">
        <v>105</v>
      </c>
      <c r="V217" s="1">
        <v>45667</v>
      </c>
      <c r="W217" t="s">
        <v>49</v>
      </c>
      <c r="AB217" s="2">
        <f t="shared" si="45"/>
        <v>1</v>
      </c>
      <c r="AC217">
        <f t="shared" si="46"/>
        <v>0</v>
      </c>
      <c r="AD217">
        <f t="shared" si="47"/>
        <v>2</v>
      </c>
      <c r="AE217" t="str">
        <f t="shared" si="48"/>
        <v>OK</v>
      </c>
      <c r="AF217" t="str">
        <f t="shared" si="49"/>
        <v>OK</v>
      </c>
      <c r="AG217" t="str">
        <f t="shared" si="50"/>
        <v>OK</v>
      </c>
      <c r="AI217" t="str">
        <f t="shared" si="51"/>
        <v>ERROR</v>
      </c>
      <c r="AJ217" t="str">
        <f t="shared" si="52"/>
        <v>OK</v>
      </c>
      <c r="AK217" t="str">
        <f t="shared" si="53"/>
        <v>OK</v>
      </c>
      <c r="AL217" t="str">
        <f t="shared" si="54"/>
        <v>OK</v>
      </c>
      <c r="AM217" t="str">
        <f t="shared" si="55"/>
        <v>OK</v>
      </c>
      <c r="AN217" t="str">
        <f t="shared" si="56"/>
        <v>OK</v>
      </c>
      <c r="AO217" t="str">
        <f t="shared" si="57"/>
        <v>OK</v>
      </c>
      <c r="AP217" t="str">
        <f t="shared" si="58"/>
        <v>OK</v>
      </c>
      <c r="AQ217" t="str">
        <f t="shared" si="59"/>
        <v>OK</v>
      </c>
    </row>
    <row r="218" spans="1:43" x14ac:dyDescent="0.3">
      <c r="A218" t="s">
        <v>956</v>
      </c>
      <c r="B218" s="1">
        <v>45624</v>
      </c>
      <c r="C218" t="s">
        <v>957</v>
      </c>
      <c r="D218" t="s">
        <v>25</v>
      </c>
      <c r="E218" t="s">
        <v>958</v>
      </c>
      <c r="F218" t="s">
        <v>41</v>
      </c>
      <c r="G218" t="s">
        <v>959</v>
      </c>
      <c r="H218">
        <v>2599</v>
      </c>
      <c r="I218">
        <v>1</v>
      </c>
      <c r="J218">
        <v>2599</v>
      </c>
      <c r="K218" t="s">
        <v>704</v>
      </c>
      <c r="L218">
        <v>15</v>
      </c>
      <c r="M218" t="s">
        <v>112</v>
      </c>
      <c r="N218" t="s">
        <v>31</v>
      </c>
      <c r="O218" t="s">
        <v>162</v>
      </c>
      <c r="P218" t="s">
        <v>163</v>
      </c>
      <c r="Q218" t="s">
        <v>46</v>
      </c>
      <c r="R218" s="1">
        <v>45641</v>
      </c>
      <c r="S218" t="s">
        <v>34</v>
      </c>
      <c r="T218" t="s">
        <v>35</v>
      </c>
      <c r="U218" t="s">
        <v>29</v>
      </c>
      <c r="V218" s="1"/>
      <c r="W218" t="s">
        <v>36</v>
      </c>
      <c r="AB218" s="2">
        <f t="shared" si="45"/>
        <v>1</v>
      </c>
      <c r="AC218">
        <f t="shared" si="46"/>
        <v>0</v>
      </c>
      <c r="AD218">
        <f t="shared" si="47"/>
        <v>2</v>
      </c>
      <c r="AE218" t="str">
        <f t="shared" si="48"/>
        <v>OK</v>
      </c>
      <c r="AF218" t="str">
        <f t="shared" si="49"/>
        <v>OK</v>
      </c>
      <c r="AG218" t="str">
        <f t="shared" si="50"/>
        <v>OK</v>
      </c>
      <c r="AI218" t="str">
        <f t="shared" si="51"/>
        <v>ERROR</v>
      </c>
      <c r="AJ218" t="str">
        <f t="shared" si="52"/>
        <v>OK</v>
      </c>
      <c r="AK218" t="str">
        <f t="shared" si="53"/>
        <v>OK</v>
      </c>
      <c r="AL218" t="str">
        <f t="shared" si="54"/>
        <v>OK</v>
      </c>
      <c r="AM218" t="str">
        <f t="shared" si="55"/>
        <v>ERROR</v>
      </c>
      <c r="AN218" t="str">
        <f t="shared" si="56"/>
        <v>OK</v>
      </c>
      <c r="AO218" t="str">
        <f t="shared" si="57"/>
        <v>OK</v>
      </c>
      <c r="AP218" t="str">
        <f t="shared" si="58"/>
        <v>OK</v>
      </c>
      <c r="AQ218" t="str">
        <f t="shared" si="59"/>
        <v>OK</v>
      </c>
    </row>
    <row r="219" spans="1:43" x14ac:dyDescent="0.3">
      <c r="A219" t="s">
        <v>960</v>
      </c>
      <c r="B219" s="1">
        <v>45624</v>
      </c>
      <c r="C219" t="s">
        <v>961</v>
      </c>
      <c r="D219" t="s">
        <v>39</v>
      </c>
      <c r="E219" t="s">
        <v>962</v>
      </c>
      <c r="F219" t="s">
        <v>54</v>
      </c>
      <c r="G219" t="s">
        <v>963</v>
      </c>
      <c r="H219">
        <v>2399</v>
      </c>
      <c r="I219">
        <v>1</v>
      </c>
      <c r="J219">
        <v>2399</v>
      </c>
      <c r="K219" t="s">
        <v>29</v>
      </c>
      <c r="L219">
        <v>0</v>
      </c>
      <c r="M219" t="s">
        <v>65</v>
      </c>
      <c r="N219" t="s">
        <v>45</v>
      </c>
      <c r="O219" t="s">
        <v>168</v>
      </c>
      <c r="P219" t="s">
        <v>152</v>
      </c>
      <c r="Q219" t="s">
        <v>32</v>
      </c>
      <c r="R219" s="1">
        <v>45639</v>
      </c>
      <c r="S219" t="s">
        <v>34</v>
      </c>
      <c r="T219" t="s">
        <v>47</v>
      </c>
      <c r="U219" t="s">
        <v>80</v>
      </c>
      <c r="V219" s="1">
        <v>45668</v>
      </c>
      <c r="W219" t="s">
        <v>49</v>
      </c>
      <c r="AB219" s="2">
        <f t="shared" si="45"/>
        <v>1</v>
      </c>
      <c r="AC219">
        <f t="shared" si="46"/>
        <v>0</v>
      </c>
      <c r="AD219">
        <f t="shared" si="47"/>
        <v>2</v>
      </c>
      <c r="AE219" t="str">
        <f t="shared" si="48"/>
        <v>OK</v>
      </c>
      <c r="AF219" t="str">
        <f t="shared" si="49"/>
        <v>OK</v>
      </c>
      <c r="AG219" t="str">
        <f t="shared" si="50"/>
        <v>OK</v>
      </c>
      <c r="AI219" t="str">
        <f t="shared" si="51"/>
        <v>ERROR</v>
      </c>
      <c r="AJ219" t="str">
        <f t="shared" si="52"/>
        <v>OK</v>
      </c>
      <c r="AK219" t="str">
        <f t="shared" si="53"/>
        <v>OK</v>
      </c>
      <c r="AL219" t="str">
        <f t="shared" si="54"/>
        <v>OK</v>
      </c>
      <c r="AM219" t="str">
        <f t="shared" si="55"/>
        <v>OK</v>
      </c>
      <c r="AN219" t="str">
        <f t="shared" si="56"/>
        <v>OK</v>
      </c>
      <c r="AO219" t="str">
        <f t="shared" si="57"/>
        <v>OK</v>
      </c>
      <c r="AP219" t="str">
        <f t="shared" si="58"/>
        <v>OK</v>
      </c>
      <c r="AQ219" t="str">
        <f t="shared" si="59"/>
        <v>OK</v>
      </c>
    </row>
    <row r="220" spans="1:43" x14ac:dyDescent="0.3">
      <c r="A220" t="s">
        <v>964</v>
      </c>
      <c r="B220" s="1">
        <v>45624</v>
      </c>
      <c r="C220" t="s">
        <v>965</v>
      </c>
      <c r="D220" t="s">
        <v>25</v>
      </c>
      <c r="E220" t="s">
        <v>966</v>
      </c>
      <c r="F220" t="s">
        <v>62</v>
      </c>
      <c r="G220" t="s">
        <v>967</v>
      </c>
      <c r="H220">
        <v>6499</v>
      </c>
      <c r="I220">
        <v>1</v>
      </c>
      <c r="J220">
        <v>6499</v>
      </c>
      <c r="K220" t="s">
        <v>29</v>
      </c>
      <c r="L220">
        <v>0</v>
      </c>
      <c r="M220" t="s">
        <v>44</v>
      </c>
      <c r="N220" t="s">
        <v>66</v>
      </c>
      <c r="O220" t="s">
        <v>173</v>
      </c>
      <c r="P220" t="s">
        <v>33</v>
      </c>
      <c r="Q220" t="s">
        <v>32</v>
      </c>
      <c r="R220" s="1">
        <v>45642</v>
      </c>
      <c r="S220" t="s">
        <v>34</v>
      </c>
      <c r="T220" t="s">
        <v>47</v>
      </c>
      <c r="U220" t="s">
        <v>48</v>
      </c>
      <c r="V220" s="1">
        <v>45671</v>
      </c>
      <c r="W220" t="s">
        <v>49</v>
      </c>
      <c r="AB220" s="2">
        <f t="shared" si="45"/>
        <v>1</v>
      </c>
      <c r="AC220">
        <f t="shared" si="46"/>
        <v>0</v>
      </c>
      <c r="AD220">
        <f t="shared" si="47"/>
        <v>2</v>
      </c>
      <c r="AE220" t="str">
        <f t="shared" si="48"/>
        <v>OK</v>
      </c>
      <c r="AF220" t="str">
        <f t="shared" si="49"/>
        <v>OK</v>
      </c>
      <c r="AG220" t="str">
        <f t="shared" si="50"/>
        <v>OK</v>
      </c>
      <c r="AI220" t="str">
        <f t="shared" si="51"/>
        <v>ERROR</v>
      </c>
      <c r="AJ220" t="str">
        <f t="shared" si="52"/>
        <v>OK</v>
      </c>
      <c r="AK220" t="str">
        <f t="shared" si="53"/>
        <v>OK</v>
      </c>
      <c r="AL220" t="str">
        <f t="shared" si="54"/>
        <v>OK</v>
      </c>
      <c r="AM220" t="str">
        <f t="shared" si="55"/>
        <v>OK</v>
      </c>
      <c r="AN220" t="str">
        <f t="shared" si="56"/>
        <v>OK</v>
      </c>
      <c r="AO220" t="str">
        <f t="shared" si="57"/>
        <v>OK</v>
      </c>
      <c r="AP220" t="str">
        <f t="shared" si="58"/>
        <v>OK</v>
      </c>
      <c r="AQ220" t="str">
        <f t="shared" si="59"/>
        <v>OK</v>
      </c>
    </row>
    <row r="221" spans="1:43" x14ac:dyDescent="0.3">
      <c r="A221" t="s">
        <v>968</v>
      </c>
      <c r="B221" s="1">
        <v>45625</v>
      </c>
      <c r="C221" t="s">
        <v>969</v>
      </c>
      <c r="D221" t="s">
        <v>25</v>
      </c>
      <c r="E221" t="s">
        <v>970</v>
      </c>
      <c r="F221" t="s">
        <v>72</v>
      </c>
      <c r="G221" t="s">
        <v>971</v>
      </c>
      <c r="H221">
        <v>499</v>
      </c>
      <c r="I221">
        <v>2</v>
      </c>
      <c r="J221">
        <v>998</v>
      </c>
      <c r="K221" t="s">
        <v>29</v>
      </c>
      <c r="L221">
        <v>0</v>
      </c>
      <c r="M221" t="s">
        <v>30</v>
      </c>
      <c r="N221" t="s">
        <v>31</v>
      </c>
      <c r="O221" t="s">
        <v>178</v>
      </c>
      <c r="P221" t="s">
        <v>68</v>
      </c>
      <c r="Q221" t="s">
        <v>57</v>
      </c>
      <c r="R221" s="1">
        <v>45640</v>
      </c>
      <c r="S221" t="s">
        <v>34</v>
      </c>
      <c r="T221" t="s">
        <v>35</v>
      </c>
      <c r="U221" t="s">
        <v>29</v>
      </c>
      <c r="V221" s="1"/>
      <c r="W221" t="s">
        <v>36</v>
      </c>
      <c r="AB221" s="2">
        <f t="shared" si="45"/>
        <v>1</v>
      </c>
      <c r="AC221">
        <f t="shared" si="46"/>
        <v>0</v>
      </c>
      <c r="AD221">
        <f t="shared" si="47"/>
        <v>2</v>
      </c>
      <c r="AE221" t="str">
        <f t="shared" si="48"/>
        <v>OK</v>
      </c>
      <c r="AF221" t="str">
        <f t="shared" si="49"/>
        <v>OK</v>
      </c>
      <c r="AG221" t="str">
        <f t="shared" si="50"/>
        <v>OK</v>
      </c>
      <c r="AI221" t="str">
        <f t="shared" si="51"/>
        <v>ERROR</v>
      </c>
      <c r="AJ221" t="str">
        <f t="shared" si="52"/>
        <v>OK</v>
      </c>
      <c r="AK221" t="str">
        <f t="shared" si="53"/>
        <v>OK</v>
      </c>
      <c r="AL221" t="str">
        <f t="shared" si="54"/>
        <v>OK</v>
      </c>
      <c r="AM221" t="str">
        <f t="shared" si="55"/>
        <v>ERROR</v>
      </c>
      <c r="AN221" t="str">
        <f t="shared" si="56"/>
        <v>OK</v>
      </c>
      <c r="AO221" t="str">
        <f t="shared" si="57"/>
        <v>OK</v>
      </c>
      <c r="AP221" t="str">
        <f t="shared" si="58"/>
        <v>OK</v>
      </c>
      <c r="AQ221" t="str">
        <f t="shared" si="59"/>
        <v>OK</v>
      </c>
    </row>
    <row r="222" spans="1:43" x14ac:dyDescent="0.3">
      <c r="A222" t="s">
        <v>972</v>
      </c>
      <c r="B222" s="1">
        <v>45625</v>
      </c>
      <c r="C222" t="s">
        <v>973</v>
      </c>
      <c r="D222" t="s">
        <v>25</v>
      </c>
      <c r="E222" t="s">
        <v>974</v>
      </c>
      <c r="F222" t="s">
        <v>27</v>
      </c>
      <c r="G222" t="s">
        <v>975</v>
      </c>
      <c r="H222">
        <v>1999</v>
      </c>
      <c r="I222">
        <v>1</v>
      </c>
      <c r="J222">
        <v>1999</v>
      </c>
      <c r="K222" t="s">
        <v>29</v>
      </c>
      <c r="L222">
        <v>0</v>
      </c>
      <c r="M222" t="s">
        <v>56</v>
      </c>
      <c r="N222" t="s">
        <v>45</v>
      </c>
      <c r="O222" t="s">
        <v>183</v>
      </c>
      <c r="P222" t="s">
        <v>184</v>
      </c>
      <c r="Q222" t="s">
        <v>57</v>
      </c>
      <c r="R222" s="1"/>
      <c r="S222" t="s">
        <v>121</v>
      </c>
      <c r="T222" t="s">
        <v>35</v>
      </c>
      <c r="U222" t="s">
        <v>29</v>
      </c>
      <c r="V222" s="1"/>
      <c r="W222" t="s">
        <v>36</v>
      </c>
      <c r="AB222" s="2">
        <f t="shared" si="45"/>
        <v>1</v>
      </c>
      <c r="AC222">
        <f t="shared" si="46"/>
        <v>0</v>
      </c>
      <c r="AD222">
        <f t="shared" si="47"/>
        <v>2</v>
      </c>
      <c r="AE222" t="str">
        <f t="shared" si="48"/>
        <v>OK</v>
      </c>
      <c r="AF222" t="str">
        <f t="shared" si="49"/>
        <v>OK</v>
      </c>
      <c r="AG222" t="str">
        <f t="shared" si="50"/>
        <v>OK</v>
      </c>
      <c r="AI222" t="str">
        <f t="shared" si="51"/>
        <v>ERROR</v>
      </c>
      <c r="AJ222" t="str">
        <f t="shared" si="52"/>
        <v>ERROR</v>
      </c>
      <c r="AK222" t="str">
        <f t="shared" si="53"/>
        <v>OK</v>
      </c>
      <c r="AL222" t="str">
        <f t="shared" si="54"/>
        <v>OK</v>
      </c>
      <c r="AM222" t="str">
        <f t="shared" si="55"/>
        <v>OK</v>
      </c>
      <c r="AN222" t="str">
        <f t="shared" si="56"/>
        <v>OK</v>
      </c>
      <c r="AO222" t="str">
        <f t="shared" si="57"/>
        <v>OK</v>
      </c>
      <c r="AP222" t="str">
        <f t="shared" si="58"/>
        <v>OK</v>
      </c>
      <c r="AQ222" t="str">
        <f t="shared" si="59"/>
        <v>OK</v>
      </c>
    </row>
    <row r="223" spans="1:43" x14ac:dyDescent="0.3">
      <c r="A223" t="s">
        <v>976</v>
      </c>
      <c r="B223" s="1">
        <v>45625</v>
      </c>
      <c r="C223" t="s">
        <v>977</v>
      </c>
      <c r="D223" t="s">
        <v>25</v>
      </c>
      <c r="E223" t="s">
        <v>978</v>
      </c>
      <c r="F223" t="s">
        <v>41</v>
      </c>
      <c r="G223" t="s">
        <v>979</v>
      </c>
      <c r="H223">
        <v>5499</v>
      </c>
      <c r="I223">
        <v>1</v>
      </c>
      <c r="J223">
        <v>5499</v>
      </c>
      <c r="K223" t="s">
        <v>704</v>
      </c>
      <c r="L223">
        <v>15</v>
      </c>
      <c r="M223" t="s">
        <v>44</v>
      </c>
      <c r="N223" t="s">
        <v>66</v>
      </c>
      <c r="O223" t="s">
        <v>189</v>
      </c>
      <c r="P223" t="s">
        <v>190</v>
      </c>
      <c r="Q223" t="s">
        <v>57</v>
      </c>
      <c r="R223" s="1">
        <v>45643</v>
      </c>
      <c r="S223" t="s">
        <v>34</v>
      </c>
      <c r="T223" t="s">
        <v>47</v>
      </c>
      <c r="U223" t="s">
        <v>69</v>
      </c>
      <c r="V223" s="1">
        <v>45672</v>
      </c>
      <c r="W223" t="s">
        <v>49</v>
      </c>
      <c r="AB223" s="2">
        <f t="shared" si="45"/>
        <v>1</v>
      </c>
      <c r="AC223">
        <f t="shared" si="46"/>
        <v>0</v>
      </c>
      <c r="AD223">
        <f t="shared" si="47"/>
        <v>2</v>
      </c>
      <c r="AE223" t="str">
        <f t="shared" si="48"/>
        <v>OK</v>
      </c>
      <c r="AF223" t="str">
        <f t="shared" si="49"/>
        <v>OK</v>
      </c>
      <c r="AG223" t="str">
        <f t="shared" si="50"/>
        <v>OK</v>
      </c>
      <c r="AI223" t="str">
        <f t="shared" si="51"/>
        <v>ERROR</v>
      </c>
      <c r="AJ223" t="str">
        <f t="shared" si="52"/>
        <v>OK</v>
      </c>
      <c r="AK223" t="str">
        <f t="shared" si="53"/>
        <v>OK</v>
      </c>
      <c r="AL223" t="str">
        <f t="shared" si="54"/>
        <v>OK</v>
      </c>
      <c r="AM223" t="str">
        <f t="shared" si="55"/>
        <v>OK</v>
      </c>
      <c r="AN223" t="str">
        <f t="shared" si="56"/>
        <v>OK</v>
      </c>
      <c r="AO223" t="str">
        <f t="shared" si="57"/>
        <v>OK</v>
      </c>
      <c r="AP223" t="str">
        <f t="shared" si="58"/>
        <v>OK</v>
      </c>
      <c r="AQ223" t="str">
        <f t="shared" si="59"/>
        <v>OK</v>
      </c>
    </row>
    <row r="224" spans="1:43" x14ac:dyDescent="0.3">
      <c r="A224" t="s">
        <v>980</v>
      </c>
      <c r="B224" s="1">
        <v>45626</v>
      </c>
      <c r="C224" t="s">
        <v>981</v>
      </c>
      <c r="D224" t="s">
        <v>39</v>
      </c>
      <c r="E224" t="s">
        <v>982</v>
      </c>
      <c r="F224" t="s">
        <v>54</v>
      </c>
      <c r="G224" t="s">
        <v>983</v>
      </c>
      <c r="H224">
        <v>2799</v>
      </c>
      <c r="I224">
        <v>1</v>
      </c>
      <c r="J224">
        <v>2799</v>
      </c>
      <c r="K224" t="s">
        <v>29</v>
      </c>
      <c r="L224">
        <v>0</v>
      </c>
      <c r="M224" t="s">
        <v>112</v>
      </c>
      <c r="N224" t="s">
        <v>31</v>
      </c>
      <c r="O224" t="s">
        <v>195</v>
      </c>
      <c r="P224" t="s">
        <v>184</v>
      </c>
      <c r="Q224" t="s">
        <v>57</v>
      </c>
      <c r="R224" s="1">
        <v>45641</v>
      </c>
      <c r="S224" t="s">
        <v>34</v>
      </c>
      <c r="T224" t="s">
        <v>35</v>
      </c>
      <c r="U224" t="s">
        <v>29</v>
      </c>
      <c r="V224" s="1"/>
      <c r="W224" t="s">
        <v>36</v>
      </c>
      <c r="AB224" s="2">
        <f t="shared" si="45"/>
        <v>1</v>
      </c>
      <c r="AC224">
        <f t="shared" si="46"/>
        <v>0</v>
      </c>
      <c r="AD224">
        <f t="shared" si="47"/>
        <v>2</v>
      </c>
      <c r="AE224" t="str">
        <f t="shared" si="48"/>
        <v>OK</v>
      </c>
      <c r="AF224" t="str">
        <f t="shared" si="49"/>
        <v>OK</v>
      </c>
      <c r="AG224" t="str">
        <f t="shared" si="50"/>
        <v>OK</v>
      </c>
      <c r="AI224" t="str">
        <f t="shared" si="51"/>
        <v>ERROR</v>
      </c>
      <c r="AJ224" t="str">
        <f t="shared" si="52"/>
        <v>OK</v>
      </c>
      <c r="AK224" t="str">
        <f t="shared" si="53"/>
        <v>OK</v>
      </c>
      <c r="AL224" t="str">
        <f t="shared" si="54"/>
        <v>OK</v>
      </c>
      <c r="AM224" t="str">
        <f t="shared" si="55"/>
        <v>ERROR</v>
      </c>
      <c r="AN224" t="str">
        <f t="shared" si="56"/>
        <v>OK</v>
      </c>
      <c r="AO224" t="str">
        <f t="shared" si="57"/>
        <v>OK</v>
      </c>
      <c r="AP224" t="str">
        <f t="shared" si="58"/>
        <v>OK</v>
      </c>
      <c r="AQ224" t="str">
        <f t="shared" si="59"/>
        <v>OK</v>
      </c>
    </row>
    <row r="225" spans="1:43" x14ac:dyDescent="0.3">
      <c r="A225" t="s">
        <v>984</v>
      </c>
      <c r="B225" s="1">
        <v>45626</v>
      </c>
      <c r="C225" t="s">
        <v>985</v>
      </c>
      <c r="D225" t="s">
        <v>25</v>
      </c>
      <c r="E225" t="s">
        <v>986</v>
      </c>
      <c r="F225" t="s">
        <v>62</v>
      </c>
      <c r="G225" t="s">
        <v>987</v>
      </c>
      <c r="H225">
        <v>5299</v>
      </c>
      <c r="I225">
        <v>1</v>
      </c>
      <c r="J225">
        <v>5299</v>
      </c>
      <c r="K225" t="s">
        <v>29</v>
      </c>
      <c r="L225">
        <v>0</v>
      </c>
      <c r="M225" t="s">
        <v>65</v>
      </c>
      <c r="N225" t="s">
        <v>45</v>
      </c>
      <c r="O225" t="s">
        <v>200</v>
      </c>
      <c r="P225" t="s">
        <v>58</v>
      </c>
      <c r="Q225" t="s">
        <v>57</v>
      </c>
      <c r="R225" s="1">
        <v>45644</v>
      </c>
      <c r="S225" t="s">
        <v>34</v>
      </c>
      <c r="T225" t="s">
        <v>47</v>
      </c>
      <c r="U225" t="s">
        <v>139</v>
      </c>
      <c r="V225" s="1">
        <v>45673</v>
      </c>
      <c r="W225" t="s">
        <v>49</v>
      </c>
      <c r="AB225" s="2">
        <f t="shared" si="45"/>
        <v>1</v>
      </c>
      <c r="AC225">
        <f t="shared" si="46"/>
        <v>0</v>
      </c>
      <c r="AD225">
        <f t="shared" si="47"/>
        <v>2</v>
      </c>
      <c r="AE225" t="str">
        <f t="shared" si="48"/>
        <v>OK</v>
      </c>
      <c r="AF225" t="str">
        <f t="shared" si="49"/>
        <v>OK</v>
      </c>
      <c r="AG225" t="str">
        <f t="shared" si="50"/>
        <v>OK</v>
      </c>
      <c r="AI225" t="str">
        <f t="shared" si="51"/>
        <v>ERROR</v>
      </c>
      <c r="AJ225" t="str">
        <f t="shared" si="52"/>
        <v>OK</v>
      </c>
      <c r="AK225" t="str">
        <f t="shared" si="53"/>
        <v>OK</v>
      </c>
      <c r="AL225" t="str">
        <f t="shared" si="54"/>
        <v>OK</v>
      </c>
      <c r="AM225" t="str">
        <f t="shared" si="55"/>
        <v>OK</v>
      </c>
      <c r="AN225" t="str">
        <f t="shared" si="56"/>
        <v>OK</v>
      </c>
      <c r="AO225" t="str">
        <f t="shared" si="57"/>
        <v>OK</v>
      </c>
      <c r="AP225" t="str">
        <f t="shared" si="58"/>
        <v>OK</v>
      </c>
      <c r="AQ225" t="str">
        <f t="shared" si="59"/>
        <v>OK</v>
      </c>
    </row>
    <row r="226" spans="1:43" x14ac:dyDescent="0.3">
      <c r="A226" t="s">
        <v>988</v>
      </c>
      <c r="B226" s="1">
        <v>45626</v>
      </c>
      <c r="C226" t="s">
        <v>989</v>
      </c>
      <c r="D226" t="s">
        <v>25</v>
      </c>
      <c r="E226" t="s">
        <v>990</v>
      </c>
      <c r="F226" t="s">
        <v>72</v>
      </c>
      <c r="G226" t="s">
        <v>991</v>
      </c>
      <c r="H226">
        <v>1099</v>
      </c>
      <c r="I226">
        <v>1</v>
      </c>
      <c r="J226">
        <v>1099</v>
      </c>
      <c r="K226" t="s">
        <v>29</v>
      </c>
      <c r="L226">
        <v>0</v>
      </c>
      <c r="M226" t="s">
        <v>30</v>
      </c>
      <c r="N226" t="s">
        <v>66</v>
      </c>
      <c r="O226" t="s">
        <v>205</v>
      </c>
      <c r="P226" t="s">
        <v>98</v>
      </c>
      <c r="Q226" t="s">
        <v>32</v>
      </c>
      <c r="R226" s="1">
        <v>45642</v>
      </c>
      <c r="S226" t="s">
        <v>34</v>
      </c>
      <c r="T226" t="s">
        <v>47</v>
      </c>
      <c r="U226" t="s">
        <v>48</v>
      </c>
      <c r="V226" s="1">
        <v>45671</v>
      </c>
      <c r="W226" t="s">
        <v>49</v>
      </c>
      <c r="AB226" s="2">
        <f t="shared" si="45"/>
        <v>1</v>
      </c>
      <c r="AC226">
        <f t="shared" si="46"/>
        <v>0</v>
      </c>
      <c r="AD226">
        <f t="shared" si="47"/>
        <v>2</v>
      </c>
      <c r="AE226" t="str">
        <f t="shared" si="48"/>
        <v>OK</v>
      </c>
      <c r="AF226" t="str">
        <f t="shared" si="49"/>
        <v>OK</v>
      </c>
      <c r="AG226" t="str">
        <f t="shared" si="50"/>
        <v>OK</v>
      </c>
      <c r="AI226" t="str">
        <f t="shared" si="51"/>
        <v>ERROR</v>
      </c>
      <c r="AJ226" t="str">
        <f t="shared" si="52"/>
        <v>OK</v>
      </c>
      <c r="AK226" t="str">
        <f t="shared" si="53"/>
        <v>OK</v>
      </c>
      <c r="AL226" t="str">
        <f t="shared" si="54"/>
        <v>OK</v>
      </c>
      <c r="AM226" t="str">
        <f t="shared" si="55"/>
        <v>OK</v>
      </c>
      <c r="AN226" t="str">
        <f t="shared" si="56"/>
        <v>OK</v>
      </c>
      <c r="AO226" t="str">
        <f t="shared" si="57"/>
        <v>OK</v>
      </c>
      <c r="AP226" t="str">
        <f t="shared" si="58"/>
        <v>OK</v>
      </c>
      <c r="AQ226" t="str">
        <f t="shared" si="59"/>
        <v>OK</v>
      </c>
    </row>
    <row r="227" spans="1:43" x14ac:dyDescent="0.3">
      <c r="A227" t="s">
        <v>992</v>
      </c>
      <c r="B227" s="1">
        <v>45627</v>
      </c>
      <c r="C227" t="s">
        <v>993</v>
      </c>
      <c r="D227" t="s">
        <v>25</v>
      </c>
      <c r="E227" t="s">
        <v>994</v>
      </c>
      <c r="F227" t="s">
        <v>27</v>
      </c>
      <c r="G227" t="s">
        <v>995</v>
      </c>
      <c r="H227">
        <v>2499</v>
      </c>
      <c r="I227">
        <v>1</v>
      </c>
      <c r="J227">
        <v>2499</v>
      </c>
      <c r="K227" t="s">
        <v>996</v>
      </c>
      <c r="L227">
        <v>20</v>
      </c>
      <c r="M227" t="s">
        <v>44</v>
      </c>
      <c r="N227" t="s">
        <v>31</v>
      </c>
      <c r="O227" t="s">
        <v>32</v>
      </c>
      <c r="P227" t="s">
        <v>33</v>
      </c>
      <c r="Q227" t="s">
        <v>32</v>
      </c>
      <c r="R227" s="1">
        <v>45632</v>
      </c>
      <c r="S227" t="s">
        <v>34</v>
      </c>
      <c r="T227" t="s">
        <v>35</v>
      </c>
      <c r="U227" t="s">
        <v>29</v>
      </c>
      <c r="V227" s="1"/>
      <c r="W227" t="s">
        <v>36</v>
      </c>
      <c r="AB227" s="2">
        <f t="shared" si="45"/>
        <v>1</v>
      </c>
      <c r="AC227">
        <f t="shared" si="46"/>
        <v>0</v>
      </c>
      <c r="AD227">
        <f t="shared" si="47"/>
        <v>2</v>
      </c>
      <c r="AE227" t="str">
        <f t="shared" si="48"/>
        <v>OK</v>
      </c>
      <c r="AF227" t="str">
        <f t="shared" si="49"/>
        <v>OK</v>
      </c>
      <c r="AG227" t="str">
        <f t="shared" si="50"/>
        <v>OK</v>
      </c>
      <c r="AI227" t="str">
        <f t="shared" si="51"/>
        <v>ERROR</v>
      </c>
      <c r="AJ227" t="str">
        <f t="shared" si="52"/>
        <v>OK</v>
      </c>
      <c r="AK227" t="str">
        <f t="shared" si="53"/>
        <v>OK</v>
      </c>
      <c r="AL227" t="str">
        <f t="shared" si="54"/>
        <v>OK</v>
      </c>
      <c r="AM227" t="str">
        <f t="shared" si="55"/>
        <v>ERROR</v>
      </c>
      <c r="AN227" t="str">
        <f t="shared" si="56"/>
        <v>OK</v>
      </c>
      <c r="AO227" t="str">
        <f t="shared" si="57"/>
        <v>OK</v>
      </c>
      <c r="AP227" t="str">
        <f t="shared" si="58"/>
        <v>OK</v>
      </c>
      <c r="AQ227" t="str">
        <f t="shared" si="59"/>
        <v>OK</v>
      </c>
    </row>
    <row r="228" spans="1:43" x14ac:dyDescent="0.3">
      <c r="A228" t="s">
        <v>997</v>
      </c>
      <c r="B228" s="1">
        <v>45627</v>
      </c>
      <c r="C228" t="s">
        <v>998</v>
      </c>
      <c r="D228" t="s">
        <v>25</v>
      </c>
      <c r="E228" t="s">
        <v>999</v>
      </c>
      <c r="F228" t="s">
        <v>62</v>
      </c>
      <c r="G228" t="s">
        <v>1000</v>
      </c>
      <c r="H228">
        <v>6499</v>
      </c>
      <c r="I228">
        <v>1</v>
      </c>
      <c r="J228">
        <v>6499</v>
      </c>
      <c r="K228" t="s">
        <v>996</v>
      </c>
      <c r="L228">
        <v>20</v>
      </c>
      <c r="M228" t="s">
        <v>56</v>
      </c>
      <c r="N228" t="s">
        <v>45</v>
      </c>
      <c r="O228" t="s">
        <v>46</v>
      </c>
      <c r="P228" t="s">
        <v>46</v>
      </c>
      <c r="Q228" t="s">
        <v>46</v>
      </c>
      <c r="R228" s="1">
        <v>45634</v>
      </c>
      <c r="S228" t="s">
        <v>34</v>
      </c>
      <c r="T228" t="s">
        <v>47</v>
      </c>
      <c r="U228" t="s">
        <v>80</v>
      </c>
      <c r="V228" s="1">
        <v>45654</v>
      </c>
      <c r="W228" t="s">
        <v>106</v>
      </c>
      <c r="AB228" s="2">
        <f t="shared" si="45"/>
        <v>1</v>
      </c>
      <c r="AC228">
        <f t="shared" si="46"/>
        <v>0</v>
      </c>
      <c r="AD228">
        <f t="shared" si="47"/>
        <v>2</v>
      </c>
      <c r="AE228" t="str">
        <f t="shared" si="48"/>
        <v>OK</v>
      </c>
      <c r="AF228" t="str">
        <f t="shared" si="49"/>
        <v>OK</v>
      </c>
      <c r="AG228" t="str">
        <f t="shared" si="50"/>
        <v>OK</v>
      </c>
      <c r="AI228" t="str">
        <f t="shared" si="51"/>
        <v>ERROR</v>
      </c>
      <c r="AJ228" t="str">
        <f t="shared" si="52"/>
        <v>OK</v>
      </c>
      <c r="AK228" t="str">
        <f t="shared" si="53"/>
        <v>OK</v>
      </c>
      <c r="AL228" t="str">
        <f t="shared" si="54"/>
        <v>OK</v>
      </c>
      <c r="AM228" t="str">
        <f t="shared" si="55"/>
        <v>OK</v>
      </c>
      <c r="AN228" t="str">
        <f t="shared" si="56"/>
        <v>OK</v>
      </c>
      <c r="AO228" t="str">
        <f t="shared" si="57"/>
        <v>OK</v>
      </c>
      <c r="AP228" t="str">
        <f t="shared" si="58"/>
        <v>OK</v>
      </c>
      <c r="AQ228" t="str">
        <f t="shared" si="59"/>
        <v>OK</v>
      </c>
    </row>
    <row r="229" spans="1:43" x14ac:dyDescent="0.3">
      <c r="A229" t="s">
        <v>1001</v>
      </c>
      <c r="B229" s="1">
        <v>45627</v>
      </c>
      <c r="C229" t="s">
        <v>1002</v>
      </c>
      <c r="D229" t="s">
        <v>39</v>
      </c>
      <c r="E229" t="s">
        <v>1003</v>
      </c>
      <c r="F229" t="s">
        <v>72</v>
      </c>
      <c r="G229" t="s">
        <v>1004</v>
      </c>
      <c r="H229">
        <v>1499</v>
      </c>
      <c r="I229">
        <v>1</v>
      </c>
      <c r="J229">
        <v>1499</v>
      </c>
      <c r="K229" t="s">
        <v>29</v>
      </c>
      <c r="L229">
        <v>0</v>
      </c>
      <c r="M229" t="s">
        <v>30</v>
      </c>
      <c r="N229" t="s">
        <v>66</v>
      </c>
      <c r="O229" t="s">
        <v>119</v>
      </c>
      <c r="P229" t="s">
        <v>120</v>
      </c>
      <c r="Q229" t="s">
        <v>46</v>
      </c>
      <c r="R229" s="1">
        <v>45633</v>
      </c>
      <c r="S229" t="s">
        <v>34</v>
      </c>
      <c r="T229" t="s">
        <v>35</v>
      </c>
      <c r="U229" t="s">
        <v>29</v>
      </c>
      <c r="V229" s="1"/>
      <c r="W229" t="s">
        <v>36</v>
      </c>
      <c r="AB229" s="2">
        <f t="shared" si="45"/>
        <v>1</v>
      </c>
      <c r="AC229">
        <f t="shared" si="46"/>
        <v>0</v>
      </c>
      <c r="AD229">
        <f t="shared" si="47"/>
        <v>2</v>
      </c>
      <c r="AE229" t="str">
        <f t="shared" si="48"/>
        <v>OK</v>
      </c>
      <c r="AF229" t="str">
        <f t="shared" si="49"/>
        <v>OK</v>
      </c>
      <c r="AG229" t="str">
        <f t="shared" si="50"/>
        <v>OK</v>
      </c>
      <c r="AI229" t="str">
        <f t="shared" si="51"/>
        <v>ERROR</v>
      </c>
      <c r="AJ229" t="str">
        <f t="shared" si="52"/>
        <v>OK</v>
      </c>
      <c r="AK229" t="str">
        <f t="shared" si="53"/>
        <v>OK</v>
      </c>
      <c r="AL229" t="str">
        <f t="shared" si="54"/>
        <v>OK</v>
      </c>
      <c r="AM229" t="str">
        <f t="shared" si="55"/>
        <v>ERROR</v>
      </c>
      <c r="AN229" t="str">
        <f t="shared" si="56"/>
        <v>OK</v>
      </c>
      <c r="AO229" t="str">
        <f t="shared" si="57"/>
        <v>OK</v>
      </c>
      <c r="AP229" t="str">
        <f t="shared" si="58"/>
        <v>OK</v>
      </c>
      <c r="AQ229" t="str">
        <f t="shared" si="59"/>
        <v>OK</v>
      </c>
    </row>
    <row r="230" spans="1:43" x14ac:dyDescent="0.3">
      <c r="A230" t="s">
        <v>1005</v>
      </c>
      <c r="B230" s="1">
        <v>45627</v>
      </c>
      <c r="C230" t="s">
        <v>1006</v>
      </c>
      <c r="D230" t="s">
        <v>25</v>
      </c>
      <c r="E230" t="s">
        <v>1007</v>
      </c>
      <c r="F230" t="s">
        <v>41</v>
      </c>
      <c r="G230" t="s">
        <v>1008</v>
      </c>
      <c r="H230">
        <v>2899</v>
      </c>
      <c r="I230">
        <v>1</v>
      </c>
      <c r="J230">
        <v>2899</v>
      </c>
      <c r="K230" t="s">
        <v>996</v>
      </c>
      <c r="L230">
        <v>20</v>
      </c>
      <c r="M230" t="s">
        <v>65</v>
      </c>
      <c r="N230" t="s">
        <v>31</v>
      </c>
      <c r="O230" t="s">
        <v>564</v>
      </c>
      <c r="P230" t="s">
        <v>120</v>
      </c>
      <c r="Q230" t="s">
        <v>46</v>
      </c>
      <c r="R230" s="1">
        <v>45635</v>
      </c>
      <c r="S230" t="s">
        <v>34</v>
      </c>
      <c r="T230" t="s">
        <v>47</v>
      </c>
      <c r="U230" t="s">
        <v>48</v>
      </c>
      <c r="V230" s="1">
        <v>45656</v>
      </c>
      <c r="W230" t="s">
        <v>49</v>
      </c>
      <c r="AB230" s="2">
        <f t="shared" si="45"/>
        <v>1</v>
      </c>
      <c r="AC230">
        <f t="shared" si="46"/>
        <v>0</v>
      </c>
      <c r="AD230">
        <f t="shared" si="47"/>
        <v>2</v>
      </c>
      <c r="AE230" t="str">
        <f t="shared" si="48"/>
        <v>OK</v>
      </c>
      <c r="AF230" t="str">
        <f t="shared" si="49"/>
        <v>OK</v>
      </c>
      <c r="AG230" t="str">
        <f t="shared" si="50"/>
        <v>OK</v>
      </c>
      <c r="AI230" t="str">
        <f t="shared" si="51"/>
        <v>ERROR</v>
      </c>
      <c r="AJ230" t="str">
        <f t="shared" si="52"/>
        <v>OK</v>
      </c>
      <c r="AK230" t="str">
        <f t="shared" si="53"/>
        <v>OK</v>
      </c>
      <c r="AL230" t="str">
        <f t="shared" si="54"/>
        <v>OK</v>
      </c>
      <c r="AM230" t="str">
        <f t="shared" si="55"/>
        <v>OK</v>
      </c>
      <c r="AN230" t="str">
        <f t="shared" si="56"/>
        <v>OK</v>
      </c>
      <c r="AO230" t="str">
        <f t="shared" si="57"/>
        <v>OK</v>
      </c>
      <c r="AP230" t="str">
        <f t="shared" si="58"/>
        <v>OK</v>
      </c>
      <c r="AQ230" t="str">
        <f t="shared" si="59"/>
        <v>OK</v>
      </c>
    </row>
    <row r="231" spans="1:43" x14ac:dyDescent="0.3">
      <c r="A231" t="s">
        <v>1009</v>
      </c>
      <c r="B231" s="1">
        <v>45628</v>
      </c>
      <c r="C231" t="s">
        <v>1010</v>
      </c>
      <c r="D231" t="s">
        <v>25</v>
      </c>
      <c r="E231" t="s">
        <v>1011</v>
      </c>
      <c r="F231" t="s">
        <v>27</v>
      </c>
      <c r="G231" t="s">
        <v>1012</v>
      </c>
      <c r="H231">
        <v>1599</v>
      </c>
      <c r="I231">
        <v>2</v>
      </c>
      <c r="J231">
        <v>3198</v>
      </c>
      <c r="K231" t="s">
        <v>29</v>
      </c>
      <c r="L231">
        <v>0</v>
      </c>
      <c r="M231" t="s">
        <v>44</v>
      </c>
      <c r="N231" t="s">
        <v>45</v>
      </c>
      <c r="O231" t="s">
        <v>1013</v>
      </c>
      <c r="P231" t="s">
        <v>1014</v>
      </c>
      <c r="Q231" t="s">
        <v>46</v>
      </c>
      <c r="R231" s="1">
        <v>45635</v>
      </c>
      <c r="S231" t="s">
        <v>34</v>
      </c>
      <c r="T231" t="s">
        <v>35</v>
      </c>
      <c r="U231" t="s">
        <v>29</v>
      </c>
      <c r="V231" s="1"/>
      <c r="W231" t="s">
        <v>36</v>
      </c>
      <c r="AB231" s="2">
        <f t="shared" si="45"/>
        <v>1</v>
      </c>
      <c r="AC231">
        <f t="shared" si="46"/>
        <v>0</v>
      </c>
      <c r="AD231">
        <f t="shared" si="47"/>
        <v>2</v>
      </c>
      <c r="AE231" t="str">
        <f t="shared" si="48"/>
        <v>OK</v>
      </c>
      <c r="AF231" t="str">
        <f t="shared" si="49"/>
        <v>OK</v>
      </c>
      <c r="AG231" t="str">
        <f t="shared" si="50"/>
        <v>OK</v>
      </c>
      <c r="AI231" t="str">
        <f t="shared" si="51"/>
        <v>ERROR</v>
      </c>
      <c r="AJ231" t="str">
        <f t="shared" si="52"/>
        <v>OK</v>
      </c>
      <c r="AK231" t="str">
        <f t="shared" si="53"/>
        <v>OK</v>
      </c>
      <c r="AL231" t="str">
        <f t="shared" si="54"/>
        <v>OK</v>
      </c>
      <c r="AM231" t="str">
        <f t="shared" si="55"/>
        <v>ERROR</v>
      </c>
      <c r="AN231" t="str">
        <f t="shared" si="56"/>
        <v>OK</v>
      </c>
      <c r="AO231" t="str">
        <f t="shared" si="57"/>
        <v>OK</v>
      </c>
      <c r="AP231" t="str">
        <f t="shared" si="58"/>
        <v>OK</v>
      </c>
      <c r="AQ231" t="str">
        <f t="shared" si="59"/>
        <v>OK</v>
      </c>
    </row>
    <row r="232" spans="1:43" x14ac:dyDescent="0.3">
      <c r="A232" t="s">
        <v>1015</v>
      </c>
      <c r="B232" s="1">
        <v>45628</v>
      </c>
      <c r="C232" t="s">
        <v>1016</v>
      </c>
      <c r="D232" t="s">
        <v>25</v>
      </c>
      <c r="E232" t="s">
        <v>1017</v>
      </c>
      <c r="F232" t="s">
        <v>54</v>
      </c>
      <c r="G232" t="s">
        <v>1018</v>
      </c>
      <c r="H232">
        <v>1799</v>
      </c>
      <c r="I232">
        <v>1</v>
      </c>
      <c r="J232">
        <v>1799</v>
      </c>
      <c r="K232" t="s">
        <v>996</v>
      </c>
      <c r="L232">
        <v>20</v>
      </c>
      <c r="M232" t="s">
        <v>112</v>
      </c>
      <c r="N232" t="s">
        <v>66</v>
      </c>
      <c r="O232" t="s">
        <v>1019</v>
      </c>
      <c r="P232" t="s">
        <v>1020</v>
      </c>
      <c r="Q232" t="s">
        <v>46</v>
      </c>
      <c r="R232" s="1">
        <v>45636</v>
      </c>
      <c r="S232" t="s">
        <v>34</v>
      </c>
      <c r="T232" t="s">
        <v>35</v>
      </c>
      <c r="U232" t="s">
        <v>29</v>
      </c>
      <c r="V232" s="1"/>
      <c r="W232" t="s">
        <v>36</v>
      </c>
      <c r="AB232" s="2">
        <f t="shared" si="45"/>
        <v>1</v>
      </c>
      <c r="AC232">
        <f t="shared" si="46"/>
        <v>0</v>
      </c>
      <c r="AD232">
        <f t="shared" si="47"/>
        <v>2</v>
      </c>
      <c r="AE232" t="str">
        <f t="shared" si="48"/>
        <v>OK</v>
      </c>
      <c r="AF232" t="str">
        <f t="shared" si="49"/>
        <v>OK</v>
      </c>
      <c r="AG232" t="str">
        <f t="shared" si="50"/>
        <v>OK</v>
      </c>
      <c r="AI232" t="str">
        <f t="shared" si="51"/>
        <v>ERROR</v>
      </c>
      <c r="AJ232" t="str">
        <f t="shared" si="52"/>
        <v>OK</v>
      </c>
      <c r="AK232" t="str">
        <f t="shared" si="53"/>
        <v>OK</v>
      </c>
      <c r="AL232" t="str">
        <f t="shared" si="54"/>
        <v>OK</v>
      </c>
      <c r="AM232" t="str">
        <f t="shared" si="55"/>
        <v>ERROR</v>
      </c>
      <c r="AN232" t="str">
        <f t="shared" si="56"/>
        <v>OK</v>
      </c>
      <c r="AO232" t="str">
        <f t="shared" si="57"/>
        <v>OK</v>
      </c>
      <c r="AP232" t="str">
        <f t="shared" si="58"/>
        <v>OK</v>
      </c>
      <c r="AQ232" t="str">
        <f t="shared" si="59"/>
        <v>OK</v>
      </c>
    </row>
    <row r="233" spans="1:43" x14ac:dyDescent="0.3">
      <c r="A233" t="s">
        <v>1021</v>
      </c>
      <c r="B233" s="1">
        <v>45628</v>
      </c>
      <c r="C233" t="s">
        <v>1022</v>
      </c>
      <c r="D233" t="s">
        <v>25</v>
      </c>
      <c r="E233" t="s">
        <v>445</v>
      </c>
      <c r="F233" t="s">
        <v>62</v>
      </c>
      <c r="G233" t="s">
        <v>446</v>
      </c>
      <c r="H233">
        <v>3299</v>
      </c>
      <c r="I233">
        <v>1</v>
      </c>
      <c r="J233">
        <v>3299</v>
      </c>
      <c r="K233" t="s">
        <v>29</v>
      </c>
      <c r="L233">
        <v>0</v>
      </c>
      <c r="M233" t="s">
        <v>30</v>
      </c>
      <c r="N233" t="s">
        <v>31</v>
      </c>
      <c r="O233" t="s">
        <v>1023</v>
      </c>
      <c r="P233" t="s">
        <v>1024</v>
      </c>
      <c r="Q233" t="s">
        <v>46</v>
      </c>
      <c r="R233" s="1">
        <v>45637</v>
      </c>
      <c r="S233" t="s">
        <v>34</v>
      </c>
      <c r="T233" t="s">
        <v>47</v>
      </c>
      <c r="U233" t="s">
        <v>105</v>
      </c>
      <c r="V233" s="1">
        <v>45659</v>
      </c>
      <c r="W233" t="s">
        <v>106</v>
      </c>
      <c r="AB233" s="2">
        <f t="shared" si="45"/>
        <v>1</v>
      </c>
      <c r="AC233">
        <f t="shared" si="46"/>
        <v>0</v>
      </c>
      <c r="AD233">
        <f t="shared" si="47"/>
        <v>2</v>
      </c>
      <c r="AE233" t="str">
        <f t="shared" si="48"/>
        <v>OK</v>
      </c>
      <c r="AF233" t="str">
        <f t="shared" si="49"/>
        <v>OK</v>
      </c>
      <c r="AG233" t="str">
        <f t="shared" si="50"/>
        <v>OK</v>
      </c>
      <c r="AI233" t="str">
        <f t="shared" si="51"/>
        <v>ERROR</v>
      </c>
      <c r="AJ233" t="str">
        <f t="shared" si="52"/>
        <v>OK</v>
      </c>
      <c r="AK233" t="str">
        <f t="shared" si="53"/>
        <v>OK</v>
      </c>
      <c r="AL233" t="str">
        <f t="shared" si="54"/>
        <v>OK</v>
      </c>
      <c r="AM233" t="str">
        <f t="shared" si="55"/>
        <v>OK</v>
      </c>
      <c r="AN233" t="str">
        <f t="shared" si="56"/>
        <v>OK</v>
      </c>
      <c r="AO233" t="str">
        <f t="shared" si="57"/>
        <v>OK</v>
      </c>
      <c r="AP233" t="str">
        <f t="shared" si="58"/>
        <v>OK</v>
      </c>
      <c r="AQ233" t="str">
        <f t="shared" si="59"/>
        <v>OK</v>
      </c>
    </row>
    <row r="234" spans="1:43" x14ac:dyDescent="0.3">
      <c r="A234" t="s">
        <v>1025</v>
      </c>
      <c r="B234" s="1">
        <v>45628</v>
      </c>
      <c r="C234" t="s">
        <v>1026</v>
      </c>
      <c r="D234" t="s">
        <v>39</v>
      </c>
      <c r="E234" t="s">
        <v>1027</v>
      </c>
      <c r="F234" t="s">
        <v>72</v>
      </c>
      <c r="G234" t="s">
        <v>1028</v>
      </c>
      <c r="H234">
        <v>599</v>
      </c>
      <c r="I234">
        <v>2</v>
      </c>
      <c r="J234">
        <v>1198</v>
      </c>
      <c r="K234" t="s">
        <v>996</v>
      </c>
      <c r="L234">
        <v>20</v>
      </c>
      <c r="M234" t="s">
        <v>56</v>
      </c>
      <c r="N234" t="s">
        <v>45</v>
      </c>
      <c r="O234" t="s">
        <v>1029</v>
      </c>
      <c r="P234" t="s">
        <v>1014</v>
      </c>
      <c r="Q234" t="s">
        <v>46</v>
      </c>
      <c r="R234" s="1">
        <v>45636</v>
      </c>
      <c r="S234" t="s">
        <v>34</v>
      </c>
      <c r="T234" t="s">
        <v>35</v>
      </c>
      <c r="U234" t="s">
        <v>29</v>
      </c>
      <c r="V234" s="1"/>
      <c r="W234" t="s">
        <v>36</v>
      </c>
      <c r="AB234" s="2">
        <f t="shared" si="45"/>
        <v>1</v>
      </c>
      <c r="AC234">
        <f t="shared" si="46"/>
        <v>0</v>
      </c>
      <c r="AD234">
        <f t="shared" si="47"/>
        <v>2</v>
      </c>
      <c r="AE234" t="str">
        <f t="shared" si="48"/>
        <v>OK</v>
      </c>
      <c r="AF234" t="str">
        <f t="shared" si="49"/>
        <v>OK</v>
      </c>
      <c r="AG234" t="str">
        <f t="shared" si="50"/>
        <v>OK</v>
      </c>
      <c r="AI234" t="str">
        <f t="shared" si="51"/>
        <v>ERROR</v>
      </c>
      <c r="AJ234" t="str">
        <f t="shared" si="52"/>
        <v>OK</v>
      </c>
      <c r="AK234" t="str">
        <f t="shared" si="53"/>
        <v>OK</v>
      </c>
      <c r="AL234" t="str">
        <f t="shared" si="54"/>
        <v>OK</v>
      </c>
      <c r="AM234" t="str">
        <f t="shared" si="55"/>
        <v>ERROR</v>
      </c>
      <c r="AN234" t="str">
        <f t="shared" si="56"/>
        <v>OK</v>
      </c>
      <c r="AO234" t="str">
        <f t="shared" si="57"/>
        <v>OK</v>
      </c>
      <c r="AP234" t="str">
        <f t="shared" si="58"/>
        <v>OK</v>
      </c>
      <c r="AQ234" t="str">
        <f t="shared" si="59"/>
        <v>OK</v>
      </c>
    </row>
    <row r="235" spans="1:43" x14ac:dyDescent="0.3">
      <c r="A235" t="s">
        <v>1030</v>
      </c>
      <c r="B235" s="1">
        <v>45629</v>
      </c>
      <c r="C235" t="s">
        <v>1031</v>
      </c>
      <c r="D235" t="s">
        <v>25</v>
      </c>
      <c r="E235" t="s">
        <v>1032</v>
      </c>
      <c r="F235" t="s">
        <v>27</v>
      </c>
      <c r="G235" t="s">
        <v>1033</v>
      </c>
      <c r="H235">
        <v>2199</v>
      </c>
      <c r="I235">
        <v>1</v>
      </c>
      <c r="J235">
        <v>2199</v>
      </c>
      <c r="K235" t="s">
        <v>29</v>
      </c>
      <c r="L235">
        <v>0</v>
      </c>
      <c r="M235" t="s">
        <v>65</v>
      </c>
      <c r="N235" t="s">
        <v>66</v>
      </c>
      <c r="O235" t="s">
        <v>1034</v>
      </c>
      <c r="P235" t="s">
        <v>92</v>
      </c>
      <c r="Q235" t="s">
        <v>46</v>
      </c>
      <c r="R235" s="1">
        <v>45638</v>
      </c>
      <c r="S235" t="s">
        <v>34</v>
      </c>
      <c r="T235" t="s">
        <v>47</v>
      </c>
      <c r="U235" t="s">
        <v>48</v>
      </c>
      <c r="V235" s="1">
        <v>45660</v>
      </c>
      <c r="W235" t="s">
        <v>49</v>
      </c>
      <c r="AB235" s="2">
        <f t="shared" si="45"/>
        <v>1</v>
      </c>
      <c r="AC235">
        <f t="shared" si="46"/>
        <v>0</v>
      </c>
      <c r="AD235">
        <f t="shared" si="47"/>
        <v>2</v>
      </c>
      <c r="AE235" t="str">
        <f t="shared" si="48"/>
        <v>OK</v>
      </c>
      <c r="AF235" t="str">
        <f t="shared" si="49"/>
        <v>OK</v>
      </c>
      <c r="AG235" t="str">
        <f t="shared" si="50"/>
        <v>OK</v>
      </c>
      <c r="AI235" t="str">
        <f t="shared" si="51"/>
        <v>ERROR</v>
      </c>
      <c r="AJ235" t="str">
        <f t="shared" si="52"/>
        <v>OK</v>
      </c>
      <c r="AK235" t="str">
        <f t="shared" si="53"/>
        <v>OK</v>
      </c>
      <c r="AL235" t="str">
        <f t="shared" si="54"/>
        <v>OK</v>
      </c>
      <c r="AM235" t="str">
        <f t="shared" si="55"/>
        <v>OK</v>
      </c>
      <c r="AN235" t="str">
        <f t="shared" si="56"/>
        <v>OK</v>
      </c>
      <c r="AO235" t="str">
        <f t="shared" si="57"/>
        <v>OK</v>
      </c>
      <c r="AP235" t="str">
        <f t="shared" si="58"/>
        <v>OK</v>
      </c>
      <c r="AQ235" t="str">
        <f t="shared" si="59"/>
        <v>OK</v>
      </c>
    </row>
    <row r="236" spans="1:43" x14ac:dyDescent="0.3">
      <c r="A236" t="s">
        <v>1035</v>
      </c>
      <c r="B236" s="1">
        <v>45629</v>
      </c>
      <c r="C236" t="s">
        <v>1036</v>
      </c>
      <c r="D236" t="s">
        <v>25</v>
      </c>
      <c r="E236" t="s">
        <v>1037</v>
      </c>
      <c r="F236" t="s">
        <v>41</v>
      </c>
      <c r="G236" t="s">
        <v>279</v>
      </c>
      <c r="H236">
        <v>2499</v>
      </c>
      <c r="I236">
        <v>1</v>
      </c>
      <c r="J236">
        <v>2499</v>
      </c>
      <c r="K236" t="s">
        <v>996</v>
      </c>
      <c r="L236">
        <v>20</v>
      </c>
      <c r="M236" t="s">
        <v>44</v>
      </c>
      <c r="N236" t="s">
        <v>31</v>
      </c>
      <c r="O236" t="s">
        <v>1038</v>
      </c>
      <c r="P236" t="s">
        <v>1039</v>
      </c>
      <c r="Q236" t="s">
        <v>46</v>
      </c>
      <c r="R236" s="1">
        <v>45638</v>
      </c>
      <c r="S236" t="s">
        <v>34</v>
      </c>
      <c r="T236" t="s">
        <v>35</v>
      </c>
      <c r="U236" t="s">
        <v>29</v>
      </c>
      <c r="V236" s="1"/>
      <c r="W236" t="s">
        <v>36</v>
      </c>
      <c r="AB236" s="2">
        <f t="shared" si="45"/>
        <v>1</v>
      </c>
      <c r="AC236">
        <f t="shared" si="46"/>
        <v>0</v>
      </c>
      <c r="AD236">
        <f t="shared" si="47"/>
        <v>2</v>
      </c>
      <c r="AE236" t="str">
        <f t="shared" si="48"/>
        <v>OK</v>
      </c>
      <c r="AF236" t="str">
        <f t="shared" si="49"/>
        <v>OK</v>
      </c>
      <c r="AG236" t="str">
        <f t="shared" si="50"/>
        <v>OK</v>
      </c>
      <c r="AI236" t="str">
        <f t="shared" si="51"/>
        <v>ERROR</v>
      </c>
      <c r="AJ236" t="str">
        <f t="shared" si="52"/>
        <v>OK</v>
      </c>
      <c r="AK236" t="str">
        <f t="shared" si="53"/>
        <v>OK</v>
      </c>
      <c r="AL236" t="str">
        <f t="shared" si="54"/>
        <v>OK</v>
      </c>
      <c r="AM236" t="str">
        <f t="shared" si="55"/>
        <v>ERROR</v>
      </c>
      <c r="AN236" t="str">
        <f t="shared" si="56"/>
        <v>OK</v>
      </c>
      <c r="AO236" t="str">
        <f t="shared" si="57"/>
        <v>OK</v>
      </c>
      <c r="AP236" t="str">
        <f t="shared" si="58"/>
        <v>OK</v>
      </c>
      <c r="AQ236" t="str">
        <f t="shared" si="59"/>
        <v>OK</v>
      </c>
    </row>
    <row r="237" spans="1:43" x14ac:dyDescent="0.3">
      <c r="A237" t="s">
        <v>1040</v>
      </c>
      <c r="B237" s="1">
        <v>45629</v>
      </c>
      <c r="C237" t="s">
        <v>1041</v>
      </c>
      <c r="D237" t="s">
        <v>25</v>
      </c>
      <c r="E237" t="s">
        <v>1042</v>
      </c>
      <c r="F237" t="s">
        <v>54</v>
      </c>
      <c r="G237" t="s">
        <v>1043</v>
      </c>
      <c r="H237">
        <v>2999</v>
      </c>
      <c r="I237">
        <v>1</v>
      </c>
      <c r="J237">
        <v>2999</v>
      </c>
      <c r="K237" t="s">
        <v>29</v>
      </c>
      <c r="L237">
        <v>0</v>
      </c>
      <c r="M237" t="s">
        <v>30</v>
      </c>
      <c r="N237" t="s">
        <v>45</v>
      </c>
      <c r="O237" t="s">
        <v>1044</v>
      </c>
      <c r="P237" t="s">
        <v>1045</v>
      </c>
      <c r="Q237" t="s">
        <v>46</v>
      </c>
      <c r="R237" s="1">
        <v>45640</v>
      </c>
      <c r="S237" t="s">
        <v>34</v>
      </c>
      <c r="T237" t="s">
        <v>47</v>
      </c>
      <c r="U237" t="s">
        <v>69</v>
      </c>
      <c r="V237" s="1">
        <v>45662</v>
      </c>
      <c r="W237" t="s">
        <v>49</v>
      </c>
      <c r="AB237" s="2">
        <f t="shared" si="45"/>
        <v>1</v>
      </c>
      <c r="AC237">
        <f t="shared" si="46"/>
        <v>0</v>
      </c>
      <c r="AD237">
        <f t="shared" si="47"/>
        <v>2</v>
      </c>
      <c r="AE237" t="str">
        <f t="shared" si="48"/>
        <v>OK</v>
      </c>
      <c r="AF237" t="str">
        <f t="shared" si="49"/>
        <v>OK</v>
      </c>
      <c r="AG237" t="str">
        <f t="shared" si="50"/>
        <v>OK</v>
      </c>
      <c r="AI237" t="str">
        <f t="shared" si="51"/>
        <v>ERROR</v>
      </c>
      <c r="AJ237" t="str">
        <f t="shared" si="52"/>
        <v>OK</v>
      </c>
      <c r="AK237" t="str">
        <f t="shared" si="53"/>
        <v>OK</v>
      </c>
      <c r="AL237" t="str">
        <f t="shared" si="54"/>
        <v>OK</v>
      </c>
      <c r="AM237" t="str">
        <f t="shared" si="55"/>
        <v>OK</v>
      </c>
      <c r="AN237" t="str">
        <f t="shared" si="56"/>
        <v>OK</v>
      </c>
      <c r="AO237" t="str">
        <f t="shared" si="57"/>
        <v>OK</v>
      </c>
      <c r="AP237" t="str">
        <f t="shared" si="58"/>
        <v>OK</v>
      </c>
      <c r="AQ237" t="str">
        <f t="shared" si="59"/>
        <v>OK</v>
      </c>
    </row>
    <row r="238" spans="1:43" x14ac:dyDescent="0.3">
      <c r="A238" t="s">
        <v>1046</v>
      </c>
      <c r="B238" s="1">
        <v>45629</v>
      </c>
      <c r="C238" t="s">
        <v>1047</v>
      </c>
      <c r="D238" t="s">
        <v>25</v>
      </c>
      <c r="E238" t="s">
        <v>1048</v>
      </c>
      <c r="F238" t="s">
        <v>62</v>
      </c>
      <c r="G238" t="s">
        <v>1049</v>
      </c>
      <c r="H238">
        <v>7999</v>
      </c>
      <c r="I238">
        <v>1</v>
      </c>
      <c r="J238">
        <v>7999</v>
      </c>
      <c r="K238" t="s">
        <v>996</v>
      </c>
      <c r="L238">
        <v>20</v>
      </c>
      <c r="M238" t="s">
        <v>112</v>
      </c>
      <c r="N238" t="s">
        <v>66</v>
      </c>
      <c r="O238" t="s">
        <v>1050</v>
      </c>
      <c r="P238" t="s">
        <v>1051</v>
      </c>
      <c r="Q238" t="s">
        <v>46</v>
      </c>
      <c r="R238" s="1">
        <v>45640</v>
      </c>
      <c r="S238" t="s">
        <v>34</v>
      </c>
      <c r="T238" t="s">
        <v>35</v>
      </c>
      <c r="U238" t="s">
        <v>29</v>
      </c>
      <c r="V238" s="1"/>
      <c r="W238" t="s">
        <v>36</v>
      </c>
      <c r="AB238" s="2">
        <f t="shared" si="45"/>
        <v>1</v>
      </c>
      <c r="AC238">
        <f t="shared" si="46"/>
        <v>0</v>
      </c>
      <c r="AD238">
        <f t="shared" si="47"/>
        <v>2</v>
      </c>
      <c r="AE238" t="str">
        <f t="shared" si="48"/>
        <v>OK</v>
      </c>
      <c r="AF238" t="str">
        <f t="shared" si="49"/>
        <v>OK</v>
      </c>
      <c r="AG238" t="str">
        <f t="shared" si="50"/>
        <v>OK</v>
      </c>
      <c r="AI238" t="str">
        <f t="shared" si="51"/>
        <v>ERROR</v>
      </c>
      <c r="AJ238" t="str">
        <f t="shared" si="52"/>
        <v>OK</v>
      </c>
      <c r="AK238" t="str">
        <f t="shared" si="53"/>
        <v>OK</v>
      </c>
      <c r="AL238" t="str">
        <f t="shared" si="54"/>
        <v>OK</v>
      </c>
      <c r="AM238" t="str">
        <f t="shared" si="55"/>
        <v>ERROR</v>
      </c>
      <c r="AN238" t="str">
        <f t="shared" si="56"/>
        <v>OK</v>
      </c>
      <c r="AO238" t="str">
        <f t="shared" si="57"/>
        <v>OK</v>
      </c>
      <c r="AP238" t="str">
        <f t="shared" si="58"/>
        <v>OK</v>
      </c>
      <c r="AQ238" t="str">
        <f t="shared" si="59"/>
        <v>OK</v>
      </c>
    </row>
    <row r="239" spans="1:43" x14ac:dyDescent="0.3">
      <c r="A239" t="s">
        <v>1052</v>
      </c>
      <c r="B239" s="1">
        <v>45630</v>
      </c>
      <c r="C239" t="s">
        <v>1053</v>
      </c>
      <c r="D239" t="s">
        <v>39</v>
      </c>
      <c r="E239" t="s">
        <v>1054</v>
      </c>
      <c r="F239" t="s">
        <v>27</v>
      </c>
      <c r="G239" t="s">
        <v>1055</v>
      </c>
      <c r="H239">
        <v>1999</v>
      </c>
      <c r="I239">
        <v>1</v>
      </c>
      <c r="J239">
        <v>1999</v>
      </c>
      <c r="K239" t="s">
        <v>29</v>
      </c>
      <c r="L239">
        <v>0</v>
      </c>
      <c r="M239" t="s">
        <v>44</v>
      </c>
      <c r="N239" t="s">
        <v>31</v>
      </c>
      <c r="O239" t="s">
        <v>1056</v>
      </c>
      <c r="P239" t="s">
        <v>68</v>
      </c>
      <c r="Q239" t="s">
        <v>57</v>
      </c>
      <c r="R239" s="1">
        <v>45639</v>
      </c>
      <c r="S239" t="s">
        <v>34</v>
      </c>
      <c r="T239" t="s">
        <v>35</v>
      </c>
      <c r="U239" t="s">
        <v>29</v>
      </c>
      <c r="V239" s="1"/>
      <c r="W239" t="s">
        <v>36</v>
      </c>
      <c r="AB239" s="2">
        <f t="shared" si="45"/>
        <v>1</v>
      </c>
      <c r="AC239">
        <f t="shared" si="46"/>
        <v>0</v>
      </c>
      <c r="AD239">
        <f t="shared" si="47"/>
        <v>2</v>
      </c>
      <c r="AE239" t="str">
        <f t="shared" si="48"/>
        <v>OK</v>
      </c>
      <c r="AF239" t="str">
        <f t="shared" si="49"/>
        <v>OK</v>
      </c>
      <c r="AG239" t="str">
        <f t="shared" si="50"/>
        <v>OK</v>
      </c>
      <c r="AI239" t="str">
        <f t="shared" si="51"/>
        <v>ERROR</v>
      </c>
      <c r="AJ239" t="str">
        <f t="shared" si="52"/>
        <v>OK</v>
      </c>
      <c r="AK239" t="str">
        <f t="shared" si="53"/>
        <v>OK</v>
      </c>
      <c r="AL239" t="str">
        <f t="shared" si="54"/>
        <v>OK</v>
      </c>
      <c r="AM239" t="str">
        <f t="shared" si="55"/>
        <v>ERROR</v>
      </c>
      <c r="AN239" t="str">
        <f t="shared" si="56"/>
        <v>OK</v>
      </c>
      <c r="AO239" t="str">
        <f t="shared" si="57"/>
        <v>OK</v>
      </c>
      <c r="AP239" t="str">
        <f t="shared" si="58"/>
        <v>OK</v>
      </c>
      <c r="AQ239" t="str">
        <f t="shared" si="59"/>
        <v>OK</v>
      </c>
    </row>
    <row r="240" spans="1:43" x14ac:dyDescent="0.3">
      <c r="A240" t="s">
        <v>1057</v>
      </c>
      <c r="B240" s="1">
        <v>45630</v>
      </c>
      <c r="C240" t="s">
        <v>1058</v>
      </c>
      <c r="D240" t="s">
        <v>25</v>
      </c>
      <c r="E240" t="s">
        <v>1059</v>
      </c>
      <c r="F240" t="s">
        <v>72</v>
      </c>
      <c r="G240" t="s">
        <v>1060</v>
      </c>
      <c r="H240">
        <v>499</v>
      </c>
      <c r="I240">
        <v>2</v>
      </c>
      <c r="J240">
        <v>998</v>
      </c>
      <c r="K240" t="s">
        <v>996</v>
      </c>
      <c r="L240">
        <v>20</v>
      </c>
      <c r="M240" t="s">
        <v>56</v>
      </c>
      <c r="N240" t="s">
        <v>45</v>
      </c>
      <c r="O240" t="s">
        <v>1061</v>
      </c>
      <c r="P240" t="s">
        <v>184</v>
      </c>
      <c r="Q240" t="s">
        <v>57</v>
      </c>
      <c r="R240" s="1">
        <v>45639</v>
      </c>
      <c r="S240" t="s">
        <v>34</v>
      </c>
      <c r="T240" t="s">
        <v>35</v>
      </c>
      <c r="U240" t="s">
        <v>29</v>
      </c>
      <c r="V240" s="1"/>
      <c r="W240" t="s">
        <v>36</v>
      </c>
      <c r="AB240" s="2">
        <f t="shared" si="45"/>
        <v>1</v>
      </c>
      <c r="AC240">
        <f t="shared" si="46"/>
        <v>0</v>
      </c>
      <c r="AD240">
        <f t="shared" si="47"/>
        <v>2</v>
      </c>
      <c r="AE240" t="str">
        <f t="shared" si="48"/>
        <v>OK</v>
      </c>
      <c r="AF240" t="str">
        <f t="shared" si="49"/>
        <v>OK</v>
      </c>
      <c r="AG240" t="str">
        <f t="shared" si="50"/>
        <v>OK</v>
      </c>
      <c r="AI240" t="str">
        <f t="shared" si="51"/>
        <v>ERROR</v>
      </c>
      <c r="AJ240" t="str">
        <f t="shared" si="52"/>
        <v>OK</v>
      </c>
      <c r="AK240" t="str">
        <f t="shared" si="53"/>
        <v>OK</v>
      </c>
      <c r="AL240" t="str">
        <f t="shared" si="54"/>
        <v>OK</v>
      </c>
      <c r="AM240" t="str">
        <f t="shared" si="55"/>
        <v>ERROR</v>
      </c>
      <c r="AN240" t="str">
        <f t="shared" si="56"/>
        <v>OK</v>
      </c>
      <c r="AO240" t="str">
        <f t="shared" si="57"/>
        <v>OK</v>
      </c>
      <c r="AP240" t="str">
        <f t="shared" si="58"/>
        <v>OK</v>
      </c>
      <c r="AQ240" t="str">
        <f t="shared" si="59"/>
        <v>OK</v>
      </c>
    </row>
    <row r="241" spans="1:43" x14ac:dyDescent="0.3">
      <c r="A241" t="s">
        <v>1062</v>
      </c>
      <c r="B241" s="1">
        <v>45630</v>
      </c>
      <c r="C241" t="s">
        <v>1063</v>
      </c>
      <c r="D241" t="s">
        <v>25</v>
      </c>
      <c r="E241" t="s">
        <v>1064</v>
      </c>
      <c r="F241" t="s">
        <v>41</v>
      </c>
      <c r="G241" t="s">
        <v>1065</v>
      </c>
      <c r="H241">
        <v>4999</v>
      </c>
      <c r="I241">
        <v>1</v>
      </c>
      <c r="J241">
        <v>4999</v>
      </c>
      <c r="K241" t="s">
        <v>29</v>
      </c>
      <c r="L241">
        <v>0</v>
      </c>
      <c r="M241" t="s">
        <v>65</v>
      </c>
      <c r="N241" t="s">
        <v>66</v>
      </c>
      <c r="O241" t="s">
        <v>1066</v>
      </c>
      <c r="P241" t="s">
        <v>1066</v>
      </c>
      <c r="Q241" t="s">
        <v>32</v>
      </c>
      <c r="R241" s="1">
        <v>45640</v>
      </c>
      <c r="S241" t="s">
        <v>34</v>
      </c>
      <c r="T241" t="s">
        <v>47</v>
      </c>
      <c r="U241" t="s">
        <v>48</v>
      </c>
      <c r="V241" s="1">
        <v>45663</v>
      </c>
      <c r="W241" t="s">
        <v>49</v>
      </c>
      <c r="AB241" s="2">
        <f t="shared" si="45"/>
        <v>1</v>
      </c>
      <c r="AC241">
        <f t="shared" si="46"/>
        <v>0</v>
      </c>
      <c r="AD241">
        <f t="shared" si="47"/>
        <v>2</v>
      </c>
      <c r="AE241" t="str">
        <f t="shared" si="48"/>
        <v>OK</v>
      </c>
      <c r="AF241" t="str">
        <f t="shared" si="49"/>
        <v>OK</v>
      </c>
      <c r="AG241" t="str">
        <f t="shared" si="50"/>
        <v>OK</v>
      </c>
      <c r="AI241" t="str">
        <f t="shared" si="51"/>
        <v>ERROR</v>
      </c>
      <c r="AJ241" t="str">
        <f t="shared" si="52"/>
        <v>OK</v>
      </c>
      <c r="AK241" t="str">
        <f t="shared" si="53"/>
        <v>OK</v>
      </c>
      <c r="AL241" t="str">
        <f t="shared" si="54"/>
        <v>OK</v>
      </c>
      <c r="AM241" t="str">
        <f t="shared" si="55"/>
        <v>OK</v>
      </c>
      <c r="AN241" t="str">
        <f t="shared" si="56"/>
        <v>OK</v>
      </c>
      <c r="AO241" t="str">
        <f t="shared" si="57"/>
        <v>OK</v>
      </c>
      <c r="AP241" t="str">
        <f t="shared" si="58"/>
        <v>OK</v>
      </c>
      <c r="AQ241" t="str">
        <f t="shared" si="59"/>
        <v>OK</v>
      </c>
    </row>
    <row r="242" spans="1:43" x14ac:dyDescent="0.3">
      <c r="A242" t="s">
        <v>1067</v>
      </c>
      <c r="B242" s="1">
        <v>45630</v>
      </c>
      <c r="C242" t="s">
        <v>1068</v>
      </c>
      <c r="D242" t="s">
        <v>25</v>
      </c>
      <c r="E242" t="s">
        <v>1069</v>
      </c>
      <c r="F242" t="s">
        <v>27</v>
      </c>
      <c r="G242" t="s">
        <v>1070</v>
      </c>
      <c r="H242">
        <v>2299</v>
      </c>
      <c r="I242">
        <v>1</v>
      </c>
      <c r="J242">
        <v>2299</v>
      </c>
      <c r="K242" t="s">
        <v>996</v>
      </c>
      <c r="L242">
        <v>20</v>
      </c>
      <c r="M242" t="s">
        <v>30</v>
      </c>
      <c r="N242" t="s">
        <v>31</v>
      </c>
      <c r="O242" t="s">
        <v>32</v>
      </c>
      <c r="P242" t="s">
        <v>33</v>
      </c>
      <c r="Q242" t="s">
        <v>32</v>
      </c>
      <c r="R242" s="1">
        <v>45639</v>
      </c>
      <c r="S242" t="s">
        <v>34</v>
      </c>
      <c r="T242" t="s">
        <v>35</v>
      </c>
      <c r="U242" t="s">
        <v>29</v>
      </c>
      <c r="V242" s="1"/>
      <c r="W242" t="s">
        <v>36</v>
      </c>
      <c r="AB242" s="2">
        <f t="shared" si="45"/>
        <v>1</v>
      </c>
      <c r="AC242">
        <f t="shared" si="46"/>
        <v>0</v>
      </c>
      <c r="AD242">
        <f t="shared" si="47"/>
        <v>2</v>
      </c>
      <c r="AE242" t="str">
        <f t="shared" si="48"/>
        <v>OK</v>
      </c>
      <c r="AF242" t="str">
        <f t="shared" si="49"/>
        <v>OK</v>
      </c>
      <c r="AG242" t="str">
        <f t="shared" si="50"/>
        <v>OK</v>
      </c>
      <c r="AI242" t="str">
        <f t="shared" si="51"/>
        <v>ERROR</v>
      </c>
      <c r="AJ242" t="str">
        <f t="shared" si="52"/>
        <v>OK</v>
      </c>
      <c r="AK242" t="str">
        <f t="shared" si="53"/>
        <v>OK</v>
      </c>
      <c r="AL242" t="str">
        <f t="shared" si="54"/>
        <v>OK</v>
      </c>
      <c r="AM242" t="str">
        <f t="shared" si="55"/>
        <v>ERROR</v>
      </c>
      <c r="AN242" t="str">
        <f t="shared" si="56"/>
        <v>OK</v>
      </c>
      <c r="AO242" t="str">
        <f t="shared" si="57"/>
        <v>OK</v>
      </c>
      <c r="AP242" t="str">
        <f t="shared" si="58"/>
        <v>OK</v>
      </c>
      <c r="AQ242" t="str">
        <f t="shared" si="59"/>
        <v>OK</v>
      </c>
    </row>
    <row r="243" spans="1:43" x14ac:dyDescent="0.3">
      <c r="A243" t="s">
        <v>1071</v>
      </c>
      <c r="B243" s="1">
        <v>45631</v>
      </c>
      <c r="C243" t="s">
        <v>1072</v>
      </c>
      <c r="D243" t="s">
        <v>25</v>
      </c>
      <c r="E243" t="s">
        <v>1073</v>
      </c>
      <c r="F243" t="s">
        <v>54</v>
      </c>
      <c r="G243" t="s">
        <v>783</v>
      </c>
      <c r="H243">
        <v>2599</v>
      </c>
      <c r="I243">
        <v>1</v>
      </c>
      <c r="J243">
        <v>2599</v>
      </c>
      <c r="K243" t="s">
        <v>29</v>
      </c>
      <c r="L243">
        <v>0</v>
      </c>
      <c r="M243" t="s">
        <v>44</v>
      </c>
      <c r="N243" t="s">
        <v>45</v>
      </c>
      <c r="O243" t="s">
        <v>57</v>
      </c>
      <c r="P243" t="s">
        <v>58</v>
      </c>
      <c r="Q243" t="s">
        <v>57</v>
      </c>
      <c r="R243" s="1">
        <v>45641</v>
      </c>
      <c r="S243" t="s">
        <v>34</v>
      </c>
      <c r="T243" t="s">
        <v>47</v>
      </c>
      <c r="U243" t="s">
        <v>80</v>
      </c>
      <c r="V243" s="1">
        <v>45665</v>
      </c>
      <c r="W243" t="s">
        <v>49</v>
      </c>
      <c r="AB243" s="2">
        <f t="shared" si="45"/>
        <v>1</v>
      </c>
      <c r="AC243">
        <f t="shared" si="46"/>
        <v>0</v>
      </c>
      <c r="AD243">
        <f t="shared" si="47"/>
        <v>2</v>
      </c>
      <c r="AE243" t="str">
        <f t="shared" si="48"/>
        <v>OK</v>
      </c>
      <c r="AF243" t="str">
        <f t="shared" si="49"/>
        <v>OK</v>
      </c>
      <c r="AG243" t="str">
        <f t="shared" si="50"/>
        <v>OK</v>
      </c>
      <c r="AI243" t="str">
        <f t="shared" si="51"/>
        <v>ERROR</v>
      </c>
      <c r="AJ243" t="str">
        <f t="shared" si="52"/>
        <v>OK</v>
      </c>
      <c r="AK243" t="str">
        <f t="shared" si="53"/>
        <v>OK</v>
      </c>
      <c r="AL243" t="str">
        <f t="shared" si="54"/>
        <v>OK</v>
      </c>
      <c r="AM243" t="str">
        <f t="shared" si="55"/>
        <v>OK</v>
      </c>
      <c r="AN243" t="str">
        <f t="shared" si="56"/>
        <v>OK</v>
      </c>
      <c r="AO243" t="str">
        <f t="shared" si="57"/>
        <v>OK</v>
      </c>
      <c r="AP243" t="str">
        <f t="shared" si="58"/>
        <v>OK</v>
      </c>
      <c r="AQ243" t="str">
        <f t="shared" si="59"/>
        <v>OK</v>
      </c>
    </row>
    <row r="244" spans="1:43" x14ac:dyDescent="0.3">
      <c r="A244" t="s">
        <v>1074</v>
      </c>
      <c r="B244" s="1">
        <v>45631</v>
      </c>
      <c r="C244" t="s">
        <v>1075</v>
      </c>
      <c r="D244" t="s">
        <v>39</v>
      </c>
      <c r="E244" t="s">
        <v>1076</v>
      </c>
      <c r="F244" t="s">
        <v>62</v>
      </c>
      <c r="G244" t="s">
        <v>1077</v>
      </c>
      <c r="H244">
        <v>8999</v>
      </c>
      <c r="I244">
        <v>1</v>
      </c>
      <c r="J244">
        <v>8999</v>
      </c>
      <c r="K244" t="s">
        <v>996</v>
      </c>
      <c r="L244">
        <v>20</v>
      </c>
      <c r="M244" t="s">
        <v>112</v>
      </c>
      <c r="N244" t="s">
        <v>66</v>
      </c>
      <c r="O244" t="s">
        <v>46</v>
      </c>
      <c r="P244" t="s">
        <v>46</v>
      </c>
      <c r="Q244" t="s">
        <v>46</v>
      </c>
      <c r="R244" s="1">
        <v>45643</v>
      </c>
      <c r="S244" t="s">
        <v>34</v>
      </c>
      <c r="T244" t="s">
        <v>47</v>
      </c>
      <c r="U244" t="s">
        <v>48</v>
      </c>
      <c r="V244" s="1">
        <v>45667</v>
      </c>
      <c r="W244" t="s">
        <v>106</v>
      </c>
      <c r="AB244" s="2">
        <f t="shared" si="45"/>
        <v>1</v>
      </c>
      <c r="AC244">
        <f t="shared" si="46"/>
        <v>0</v>
      </c>
      <c r="AD244">
        <f t="shared" si="47"/>
        <v>2</v>
      </c>
      <c r="AE244" t="str">
        <f t="shared" si="48"/>
        <v>OK</v>
      </c>
      <c r="AF244" t="str">
        <f t="shared" si="49"/>
        <v>OK</v>
      </c>
      <c r="AG244" t="str">
        <f t="shared" si="50"/>
        <v>OK</v>
      </c>
      <c r="AI244" t="str">
        <f t="shared" si="51"/>
        <v>ERROR</v>
      </c>
      <c r="AJ244" t="str">
        <f t="shared" si="52"/>
        <v>OK</v>
      </c>
      <c r="AK244" t="str">
        <f t="shared" si="53"/>
        <v>OK</v>
      </c>
      <c r="AL244" t="str">
        <f t="shared" si="54"/>
        <v>OK</v>
      </c>
      <c r="AM244" t="str">
        <f t="shared" si="55"/>
        <v>OK</v>
      </c>
      <c r="AN244" t="str">
        <f t="shared" si="56"/>
        <v>OK</v>
      </c>
      <c r="AO244" t="str">
        <f t="shared" si="57"/>
        <v>OK</v>
      </c>
      <c r="AP244" t="str">
        <f t="shared" si="58"/>
        <v>OK</v>
      </c>
      <c r="AQ244" t="str">
        <f t="shared" si="59"/>
        <v>OK</v>
      </c>
    </row>
    <row r="245" spans="1:43" x14ac:dyDescent="0.3">
      <c r="A245" t="s">
        <v>1078</v>
      </c>
      <c r="B245" s="1">
        <v>45631</v>
      </c>
      <c r="C245" t="s">
        <v>1079</v>
      </c>
      <c r="D245" t="s">
        <v>25</v>
      </c>
      <c r="E245" t="s">
        <v>370</v>
      </c>
      <c r="F245" t="s">
        <v>72</v>
      </c>
      <c r="G245" t="s">
        <v>1080</v>
      </c>
      <c r="H245">
        <v>1799</v>
      </c>
      <c r="I245">
        <v>1</v>
      </c>
      <c r="J245">
        <v>1799</v>
      </c>
      <c r="K245" t="s">
        <v>29</v>
      </c>
      <c r="L245">
        <v>0</v>
      </c>
      <c r="M245" t="s">
        <v>30</v>
      </c>
      <c r="N245" t="s">
        <v>31</v>
      </c>
      <c r="O245" t="s">
        <v>78</v>
      </c>
      <c r="P245" t="s">
        <v>79</v>
      </c>
      <c r="Q245" t="s">
        <v>57</v>
      </c>
      <c r="R245" s="1">
        <v>45642</v>
      </c>
      <c r="S245" t="s">
        <v>34</v>
      </c>
      <c r="T245" t="s">
        <v>35</v>
      </c>
      <c r="U245" t="s">
        <v>29</v>
      </c>
      <c r="V245" s="1"/>
      <c r="W245" t="s">
        <v>36</v>
      </c>
      <c r="AB245" s="2">
        <f t="shared" si="45"/>
        <v>1</v>
      </c>
      <c r="AC245">
        <f t="shared" si="46"/>
        <v>0</v>
      </c>
      <c r="AD245">
        <f t="shared" si="47"/>
        <v>2</v>
      </c>
      <c r="AE245" t="str">
        <f t="shared" si="48"/>
        <v>OK</v>
      </c>
      <c r="AF245" t="str">
        <f t="shared" si="49"/>
        <v>OK</v>
      </c>
      <c r="AG245" t="str">
        <f t="shared" si="50"/>
        <v>OK</v>
      </c>
      <c r="AI245" t="str">
        <f t="shared" si="51"/>
        <v>ERROR</v>
      </c>
      <c r="AJ245" t="str">
        <f t="shared" si="52"/>
        <v>OK</v>
      </c>
      <c r="AK245" t="str">
        <f t="shared" si="53"/>
        <v>OK</v>
      </c>
      <c r="AL245" t="str">
        <f t="shared" si="54"/>
        <v>OK</v>
      </c>
      <c r="AM245" t="str">
        <f t="shared" si="55"/>
        <v>ERROR</v>
      </c>
      <c r="AN245" t="str">
        <f t="shared" si="56"/>
        <v>OK</v>
      </c>
      <c r="AO245" t="str">
        <f t="shared" si="57"/>
        <v>OK</v>
      </c>
      <c r="AP245" t="str">
        <f t="shared" si="58"/>
        <v>OK</v>
      </c>
      <c r="AQ245" t="str">
        <f t="shared" si="59"/>
        <v>OK</v>
      </c>
    </row>
    <row r="246" spans="1:43" x14ac:dyDescent="0.3">
      <c r="A246" t="s">
        <v>1081</v>
      </c>
      <c r="B246" s="1">
        <v>45631</v>
      </c>
      <c r="C246" t="s">
        <v>1082</v>
      </c>
      <c r="D246" t="s">
        <v>25</v>
      </c>
      <c r="E246" t="s">
        <v>1083</v>
      </c>
      <c r="F246" t="s">
        <v>27</v>
      </c>
      <c r="G246" t="s">
        <v>1084</v>
      </c>
      <c r="H246">
        <v>2199</v>
      </c>
      <c r="I246">
        <v>1</v>
      </c>
      <c r="J246">
        <v>2199</v>
      </c>
      <c r="K246" t="s">
        <v>29</v>
      </c>
      <c r="L246">
        <v>0</v>
      </c>
      <c r="M246" t="s">
        <v>65</v>
      </c>
      <c r="N246" t="s">
        <v>45</v>
      </c>
      <c r="O246" t="s">
        <v>67</v>
      </c>
      <c r="P246" t="s">
        <v>68</v>
      </c>
      <c r="Q246" t="s">
        <v>57</v>
      </c>
      <c r="R246" s="1">
        <v>45642</v>
      </c>
      <c r="S246" t="s">
        <v>34</v>
      </c>
      <c r="T246" t="s">
        <v>35</v>
      </c>
      <c r="U246" t="s">
        <v>29</v>
      </c>
      <c r="V246" s="1"/>
      <c r="W246" t="s">
        <v>36</v>
      </c>
      <c r="AB246" s="2">
        <f t="shared" si="45"/>
        <v>1</v>
      </c>
      <c r="AC246">
        <f t="shared" si="46"/>
        <v>0</v>
      </c>
      <c r="AD246">
        <f t="shared" si="47"/>
        <v>2</v>
      </c>
      <c r="AE246" t="str">
        <f t="shared" si="48"/>
        <v>OK</v>
      </c>
      <c r="AF246" t="str">
        <f t="shared" si="49"/>
        <v>OK</v>
      </c>
      <c r="AG246" t="str">
        <f t="shared" si="50"/>
        <v>OK</v>
      </c>
      <c r="AI246" t="str">
        <f t="shared" si="51"/>
        <v>ERROR</v>
      </c>
      <c r="AJ246" t="str">
        <f t="shared" si="52"/>
        <v>OK</v>
      </c>
      <c r="AK246" t="str">
        <f t="shared" si="53"/>
        <v>OK</v>
      </c>
      <c r="AL246" t="str">
        <f t="shared" si="54"/>
        <v>OK</v>
      </c>
      <c r="AM246" t="str">
        <f t="shared" si="55"/>
        <v>ERROR</v>
      </c>
      <c r="AN246" t="str">
        <f t="shared" si="56"/>
        <v>OK</v>
      </c>
      <c r="AO246" t="str">
        <f t="shared" si="57"/>
        <v>OK</v>
      </c>
      <c r="AP246" t="str">
        <f t="shared" si="58"/>
        <v>OK</v>
      </c>
      <c r="AQ246" t="str">
        <f t="shared" si="59"/>
        <v>OK</v>
      </c>
    </row>
    <row r="247" spans="1:43" x14ac:dyDescent="0.3">
      <c r="A247" t="s">
        <v>1085</v>
      </c>
      <c r="B247" s="1">
        <v>45632</v>
      </c>
      <c r="C247" t="s">
        <v>1086</v>
      </c>
      <c r="D247" t="s">
        <v>25</v>
      </c>
      <c r="E247" t="s">
        <v>1087</v>
      </c>
      <c r="F247" t="s">
        <v>41</v>
      </c>
      <c r="G247" t="s">
        <v>1088</v>
      </c>
      <c r="H247">
        <v>3799</v>
      </c>
      <c r="I247">
        <v>1</v>
      </c>
      <c r="J247">
        <v>3799</v>
      </c>
      <c r="K247" t="s">
        <v>996</v>
      </c>
      <c r="L247">
        <v>20</v>
      </c>
      <c r="M247" t="s">
        <v>56</v>
      </c>
      <c r="N247" t="s">
        <v>66</v>
      </c>
      <c r="O247" t="s">
        <v>85</v>
      </c>
      <c r="P247" t="s">
        <v>33</v>
      </c>
      <c r="Q247" t="s">
        <v>32</v>
      </c>
      <c r="R247" s="1">
        <v>45644</v>
      </c>
      <c r="S247" t="s">
        <v>34</v>
      </c>
      <c r="T247" t="s">
        <v>47</v>
      </c>
      <c r="U247" t="s">
        <v>69</v>
      </c>
      <c r="V247" s="1">
        <v>45669</v>
      </c>
      <c r="W247" t="s">
        <v>49</v>
      </c>
      <c r="AB247" s="2">
        <f t="shared" si="45"/>
        <v>1</v>
      </c>
      <c r="AC247">
        <f t="shared" si="46"/>
        <v>0</v>
      </c>
      <c r="AD247">
        <f t="shared" si="47"/>
        <v>2</v>
      </c>
      <c r="AE247" t="str">
        <f t="shared" si="48"/>
        <v>OK</v>
      </c>
      <c r="AF247" t="str">
        <f t="shared" si="49"/>
        <v>OK</v>
      </c>
      <c r="AG247" t="str">
        <f t="shared" si="50"/>
        <v>OK</v>
      </c>
      <c r="AI247" t="str">
        <f t="shared" si="51"/>
        <v>ERROR</v>
      </c>
      <c r="AJ247" t="str">
        <f t="shared" si="52"/>
        <v>OK</v>
      </c>
      <c r="AK247" t="str">
        <f t="shared" si="53"/>
        <v>OK</v>
      </c>
      <c r="AL247" t="str">
        <f t="shared" si="54"/>
        <v>OK</v>
      </c>
      <c r="AM247" t="str">
        <f t="shared" si="55"/>
        <v>OK</v>
      </c>
      <c r="AN247" t="str">
        <f t="shared" si="56"/>
        <v>OK</v>
      </c>
      <c r="AO247" t="str">
        <f t="shared" si="57"/>
        <v>OK</v>
      </c>
      <c r="AP247" t="str">
        <f t="shared" si="58"/>
        <v>OK</v>
      </c>
      <c r="AQ247" t="str">
        <f t="shared" si="59"/>
        <v>OK</v>
      </c>
    </row>
    <row r="248" spans="1:43" x14ac:dyDescent="0.3">
      <c r="A248" t="s">
        <v>1089</v>
      </c>
      <c r="B248" s="1">
        <v>45632</v>
      </c>
      <c r="C248" t="s">
        <v>1090</v>
      </c>
      <c r="D248" t="s">
        <v>25</v>
      </c>
      <c r="E248" t="s">
        <v>1091</v>
      </c>
      <c r="F248" t="s">
        <v>54</v>
      </c>
      <c r="G248" t="s">
        <v>1092</v>
      </c>
      <c r="H248">
        <v>2899</v>
      </c>
      <c r="I248">
        <v>1</v>
      </c>
      <c r="J248">
        <v>2899</v>
      </c>
      <c r="K248" t="s">
        <v>29</v>
      </c>
      <c r="L248">
        <v>0</v>
      </c>
      <c r="M248" t="s">
        <v>44</v>
      </c>
      <c r="N248" t="s">
        <v>31</v>
      </c>
      <c r="O248" t="s">
        <v>91</v>
      </c>
      <c r="P248" t="s">
        <v>92</v>
      </c>
      <c r="Q248" t="s">
        <v>46</v>
      </c>
      <c r="R248" s="1">
        <v>45644</v>
      </c>
      <c r="S248" t="s">
        <v>34</v>
      </c>
      <c r="T248" t="s">
        <v>35</v>
      </c>
      <c r="U248" t="s">
        <v>29</v>
      </c>
      <c r="V248" s="1"/>
      <c r="W248" t="s">
        <v>36</v>
      </c>
      <c r="AB248" s="2">
        <f t="shared" si="45"/>
        <v>1</v>
      </c>
      <c r="AC248">
        <f t="shared" si="46"/>
        <v>0</v>
      </c>
      <c r="AD248">
        <f t="shared" si="47"/>
        <v>2</v>
      </c>
      <c r="AE248" t="str">
        <f t="shared" si="48"/>
        <v>OK</v>
      </c>
      <c r="AF248" t="str">
        <f t="shared" si="49"/>
        <v>OK</v>
      </c>
      <c r="AG248" t="str">
        <f t="shared" si="50"/>
        <v>OK</v>
      </c>
      <c r="AI248" t="str">
        <f t="shared" si="51"/>
        <v>ERROR</v>
      </c>
      <c r="AJ248" t="str">
        <f t="shared" si="52"/>
        <v>OK</v>
      </c>
      <c r="AK248" t="str">
        <f t="shared" si="53"/>
        <v>OK</v>
      </c>
      <c r="AL248" t="str">
        <f t="shared" si="54"/>
        <v>OK</v>
      </c>
      <c r="AM248" t="str">
        <f t="shared" si="55"/>
        <v>ERROR</v>
      </c>
      <c r="AN248" t="str">
        <f t="shared" si="56"/>
        <v>OK</v>
      </c>
      <c r="AO248" t="str">
        <f t="shared" si="57"/>
        <v>OK</v>
      </c>
      <c r="AP248" t="str">
        <f t="shared" si="58"/>
        <v>OK</v>
      </c>
      <c r="AQ248" t="str">
        <f t="shared" si="59"/>
        <v>OK</v>
      </c>
    </row>
    <row r="249" spans="1:43" x14ac:dyDescent="0.3">
      <c r="A249" t="s">
        <v>1093</v>
      </c>
      <c r="B249" s="1">
        <v>45632</v>
      </c>
      <c r="C249" t="s">
        <v>1094</v>
      </c>
      <c r="D249" t="s">
        <v>39</v>
      </c>
      <c r="E249" t="s">
        <v>504</v>
      </c>
      <c r="F249" t="s">
        <v>62</v>
      </c>
      <c r="G249" t="s">
        <v>1095</v>
      </c>
      <c r="H249">
        <v>4599</v>
      </c>
      <c r="I249">
        <v>1</v>
      </c>
      <c r="J249">
        <v>4599</v>
      </c>
      <c r="K249" t="s">
        <v>996</v>
      </c>
      <c r="L249">
        <v>20</v>
      </c>
      <c r="M249" t="s">
        <v>30</v>
      </c>
      <c r="N249" t="s">
        <v>45</v>
      </c>
      <c r="O249" t="s">
        <v>103</v>
      </c>
      <c r="P249" t="s">
        <v>104</v>
      </c>
      <c r="Q249" t="s">
        <v>46</v>
      </c>
      <c r="R249" s="1">
        <v>45645</v>
      </c>
      <c r="S249" t="s">
        <v>34</v>
      </c>
      <c r="T249" t="s">
        <v>47</v>
      </c>
      <c r="U249" t="s">
        <v>48</v>
      </c>
      <c r="V249" s="1">
        <v>45671</v>
      </c>
      <c r="W249" t="s">
        <v>49</v>
      </c>
      <c r="AB249" s="2">
        <f t="shared" si="45"/>
        <v>1</v>
      </c>
      <c r="AC249">
        <f t="shared" si="46"/>
        <v>0</v>
      </c>
      <c r="AD249">
        <f t="shared" si="47"/>
        <v>2</v>
      </c>
      <c r="AE249" t="str">
        <f t="shared" si="48"/>
        <v>OK</v>
      </c>
      <c r="AF249" t="str">
        <f t="shared" si="49"/>
        <v>OK</v>
      </c>
      <c r="AG249" t="str">
        <f t="shared" si="50"/>
        <v>OK</v>
      </c>
      <c r="AI249" t="str">
        <f t="shared" si="51"/>
        <v>ERROR</v>
      </c>
      <c r="AJ249" t="str">
        <f t="shared" si="52"/>
        <v>OK</v>
      </c>
      <c r="AK249" t="str">
        <f t="shared" si="53"/>
        <v>OK</v>
      </c>
      <c r="AL249" t="str">
        <f t="shared" si="54"/>
        <v>OK</v>
      </c>
      <c r="AM249" t="str">
        <f t="shared" si="55"/>
        <v>OK</v>
      </c>
      <c r="AN249" t="str">
        <f t="shared" si="56"/>
        <v>OK</v>
      </c>
      <c r="AO249" t="str">
        <f t="shared" si="57"/>
        <v>OK</v>
      </c>
      <c r="AP249" t="str">
        <f t="shared" si="58"/>
        <v>OK</v>
      </c>
      <c r="AQ249" t="str">
        <f t="shared" si="59"/>
        <v>OK</v>
      </c>
    </row>
    <row r="250" spans="1:43" x14ac:dyDescent="0.3">
      <c r="A250" t="s">
        <v>1096</v>
      </c>
      <c r="B250" s="1">
        <v>45632</v>
      </c>
      <c r="C250" t="s">
        <v>1097</v>
      </c>
      <c r="D250" t="s">
        <v>25</v>
      </c>
      <c r="E250" t="s">
        <v>1098</v>
      </c>
      <c r="F250" t="s">
        <v>72</v>
      </c>
      <c r="G250" t="s">
        <v>1099</v>
      </c>
      <c r="H250">
        <v>2499</v>
      </c>
      <c r="I250">
        <v>1</v>
      </c>
      <c r="J250">
        <v>2499</v>
      </c>
      <c r="K250" t="s">
        <v>29</v>
      </c>
      <c r="L250">
        <v>0</v>
      </c>
      <c r="M250" t="s">
        <v>112</v>
      </c>
      <c r="N250" t="s">
        <v>66</v>
      </c>
      <c r="O250" t="s">
        <v>113</v>
      </c>
      <c r="P250" t="s">
        <v>114</v>
      </c>
      <c r="Q250" t="s">
        <v>46</v>
      </c>
      <c r="R250" s="1">
        <v>45645</v>
      </c>
      <c r="S250" t="s">
        <v>34</v>
      </c>
      <c r="T250" t="s">
        <v>35</v>
      </c>
      <c r="U250" t="s">
        <v>29</v>
      </c>
      <c r="V250" s="1"/>
      <c r="W250" t="s">
        <v>36</v>
      </c>
      <c r="AB250" s="2">
        <f t="shared" si="45"/>
        <v>1</v>
      </c>
      <c r="AC250">
        <f t="shared" si="46"/>
        <v>0</v>
      </c>
      <c r="AD250">
        <f t="shared" si="47"/>
        <v>2</v>
      </c>
      <c r="AE250" t="str">
        <f t="shared" si="48"/>
        <v>OK</v>
      </c>
      <c r="AF250" t="str">
        <f t="shared" si="49"/>
        <v>OK</v>
      </c>
      <c r="AG250" t="str">
        <f t="shared" si="50"/>
        <v>OK</v>
      </c>
      <c r="AI250" t="str">
        <f t="shared" si="51"/>
        <v>ERROR</v>
      </c>
      <c r="AJ250" t="str">
        <f t="shared" si="52"/>
        <v>OK</v>
      </c>
      <c r="AK250" t="str">
        <f t="shared" si="53"/>
        <v>OK</v>
      </c>
      <c r="AL250" t="str">
        <f t="shared" si="54"/>
        <v>OK</v>
      </c>
      <c r="AM250" t="str">
        <f t="shared" si="55"/>
        <v>ERROR</v>
      </c>
      <c r="AN250" t="str">
        <f t="shared" si="56"/>
        <v>OK</v>
      </c>
      <c r="AO250" t="str">
        <f t="shared" si="57"/>
        <v>OK</v>
      </c>
      <c r="AP250" t="str">
        <f t="shared" si="58"/>
        <v>OK</v>
      </c>
      <c r="AQ250" t="str">
        <f t="shared" si="59"/>
        <v>OK</v>
      </c>
    </row>
    <row r="251" spans="1:43" x14ac:dyDescent="0.3">
      <c r="A251" t="s">
        <v>1100</v>
      </c>
      <c r="B251" s="1">
        <v>45633</v>
      </c>
      <c r="C251" t="s">
        <v>1101</v>
      </c>
      <c r="D251" t="s">
        <v>25</v>
      </c>
      <c r="E251" t="s">
        <v>1102</v>
      </c>
      <c r="F251" t="s">
        <v>27</v>
      </c>
      <c r="G251" t="s">
        <v>1103</v>
      </c>
      <c r="H251">
        <v>1899</v>
      </c>
      <c r="I251">
        <v>1</v>
      </c>
      <c r="J251">
        <v>1899</v>
      </c>
      <c r="K251" t="s">
        <v>29</v>
      </c>
      <c r="L251">
        <v>0</v>
      </c>
      <c r="M251" t="s">
        <v>65</v>
      </c>
      <c r="N251" t="s">
        <v>31</v>
      </c>
      <c r="O251" t="s">
        <v>1066</v>
      </c>
      <c r="P251" t="s">
        <v>1066</v>
      </c>
      <c r="Q251" t="s">
        <v>32</v>
      </c>
      <c r="R251" s="1"/>
      <c r="S251" t="s">
        <v>121</v>
      </c>
      <c r="T251" t="s">
        <v>35</v>
      </c>
      <c r="U251" t="s">
        <v>29</v>
      </c>
      <c r="V251" s="1"/>
      <c r="W251" t="s">
        <v>36</v>
      </c>
      <c r="AB251" s="2">
        <f t="shared" si="45"/>
        <v>1</v>
      </c>
      <c r="AC251">
        <f t="shared" si="46"/>
        <v>0</v>
      </c>
      <c r="AD251">
        <f t="shared" si="47"/>
        <v>2</v>
      </c>
      <c r="AE251" t="str">
        <f t="shared" si="48"/>
        <v>OK</v>
      </c>
      <c r="AF251" t="str">
        <f t="shared" si="49"/>
        <v>OK</v>
      </c>
      <c r="AG251" t="str">
        <f t="shared" si="50"/>
        <v>OK</v>
      </c>
      <c r="AI251" t="str">
        <f t="shared" si="51"/>
        <v>ERROR</v>
      </c>
      <c r="AJ251" t="str">
        <f t="shared" si="52"/>
        <v>ERROR</v>
      </c>
      <c r="AK251" t="str">
        <f t="shared" si="53"/>
        <v>OK</v>
      </c>
      <c r="AL251" t="str">
        <f t="shared" si="54"/>
        <v>OK</v>
      </c>
      <c r="AM251" t="str">
        <f t="shared" si="55"/>
        <v>OK</v>
      </c>
      <c r="AN251" t="str">
        <f t="shared" si="56"/>
        <v>OK</v>
      </c>
      <c r="AO251" t="str">
        <f t="shared" si="57"/>
        <v>OK</v>
      </c>
      <c r="AP251" t="str">
        <f t="shared" si="58"/>
        <v>OK</v>
      </c>
      <c r="AQ251" t="str">
        <f t="shared" si="59"/>
        <v>OK</v>
      </c>
    </row>
    <row r="252" spans="1:43" x14ac:dyDescent="0.3">
      <c r="A252" t="s">
        <v>1104</v>
      </c>
      <c r="B252" s="1">
        <v>45633</v>
      </c>
      <c r="C252" t="s">
        <v>1105</v>
      </c>
      <c r="D252" t="s">
        <v>25</v>
      </c>
      <c r="E252" t="s">
        <v>1106</v>
      </c>
      <c r="F252" t="s">
        <v>41</v>
      </c>
      <c r="G252" t="s">
        <v>939</v>
      </c>
      <c r="H252">
        <v>3299</v>
      </c>
      <c r="I252">
        <v>1</v>
      </c>
      <c r="J252">
        <v>3299</v>
      </c>
      <c r="K252" t="s">
        <v>996</v>
      </c>
      <c r="L252">
        <v>20</v>
      </c>
      <c r="M252" t="s">
        <v>44</v>
      </c>
      <c r="N252" t="s">
        <v>45</v>
      </c>
      <c r="O252" t="s">
        <v>32</v>
      </c>
      <c r="P252" t="s">
        <v>33</v>
      </c>
      <c r="Q252" t="s">
        <v>32</v>
      </c>
      <c r="R252" s="1">
        <v>45646</v>
      </c>
      <c r="S252" t="s">
        <v>34</v>
      </c>
      <c r="T252" t="s">
        <v>35</v>
      </c>
      <c r="U252" t="s">
        <v>29</v>
      </c>
      <c r="V252" s="1"/>
      <c r="W252" t="s">
        <v>36</v>
      </c>
      <c r="AB252" s="2">
        <f t="shared" si="45"/>
        <v>1</v>
      </c>
      <c r="AC252">
        <f t="shared" si="46"/>
        <v>0</v>
      </c>
      <c r="AD252">
        <f t="shared" si="47"/>
        <v>2</v>
      </c>
      <c r="AE252" t="str">
        <f t="shared" si="48"/>
        <v>OK</v>
      </c>
      <c r="AF252" t="str">
        <f t="shared" si="49"/>
        <v>OK</v>
      </c>
      <c r="AG252" t="str">
        <f t="shared" si="50"/>
        <v>OK</v>
      </c>
      <c r="AI252" t="str">
        <f t="shared" si="51"/>
        <v>ERROR</v>
      </c>
      <c r="AJ252" t="str">
        <f t="shared" si="52"/>
        <v>OK</v>
      </c>
      <c r="AK252" t="str">
        <f t="shared" si="53"/>
        <v>OK</v>
      </c>
      <c r="AL252" t="str">
        <f t="shared" si="54"/>
        <v>OK</v>
      </c>
      <c r="AM252" t="str">
        <f t="shared" si="55"/>
        <v>ERROR</v>
      </c>
      <c r="AN252" t="str">
        <f t="shared" si="56"/>
        <v>OK</v>
      </c>
      <c r="AO252" t="str">
        <f t="shared" si="57"/>
        <v>OK</v>
      </c>
      <c r="AP252" t="str">
        <f t="shared" si="58"/>
        <v>OK</v>
      </c>
      <c r="AQ252" t="str">
        <f t="shared" si="59"/>
        <v>OK</v>
      </c>
    </row>
    <row r="253" spans="1:43" x14ac:dyDescent="0.3">
      <c r="A253" t="s">
        <v>1107</v>
      </c>
      <c r="B253" s="1">
        <v>45633</v>
      </c>
      <c r="C253" t="s">
        <v>1108</v>
      </c>
      <c r="D253" t="s">
        <v>25</v>
      </c>
      <c r="E253" t="s">
        <v>1109</v>
      </c>
      <c r="F253" t="s">
        <v>54</v>
      </c>
      <c r="G253" t="s">
        <v>943</v>
      </c>
      <c r="H253">
        <v>2199</v>
      </c>
      <c r="I253">
        <v>1</v>
      </c>
      <c r="J253">
        <v>2199</v>
      </c>
      <c r="K253" t="s">
        <v>29</v>
      </c>
      <c r="L253">
        <v>0</v>
      </c>
      <c r="M253" t="s">
        <v>56</v>
      </c>
      <c r="N253" t="s">
        <v>66</v>
      </c>
      <c r="O253" t="s">
        <v>46</v>
      </c>
      <c r="P253" t="s">
        <v>46</v>
      </c>
      <c r="Q253" t="s">
        <v>46</v>
      </c>
      <c r="R253" s="1">
        <v>45647</v>
      </c>
      <c r="S253" t="s">
        <v>34</v>
      </c>
      <c r="T253" t="s">
        <v>47</v>
      </c>
      <c r="U253" t="s">
        <v>139</v>
      </c>
      <c r="V253" s="1">
        <v>45672</v>
      </c>
      <c r="W253" t="s">
        <v>106</v>
      </c>
      <c r="AB253" s="2">
        <f t="shared" si="45"/>
        <v>1</v>
      </c>
      <c r="AC253">
        <f t="shared" si="46"/>
        <v>0</v>
      </c>
      <c r="AD253">
        <f t="shared" si="47"/>
        <v>2</v>
      </c>
      <c r="AE253" t="str">
        <f t="shared" si="48"/>
        <v>OK</v>
      </c>
      <c r="AF253" t="str">
        <f t="shared" si="49"/>
        <v>OK</v>
      </c>
      <c r="AG253" t="str">
        <f t="shared" si="50"/>
        <v>OK</v>
      </c>
      <c r="AI253" t="str">
        <f t="shared" si="51"/>
        <v>ERROR</v>
      </c>
      <c r="AJ253" t="str">
        <f t="shared" si="52"/>
        <v>OK</v>
      </c>
      <c r="AK253" t="str">
        <f t="shared" si="53"/>
        <v>OK</v>
      </c>
      <c r="AL253" t="str">
        <f t="shared" si="54"/>
        <v>OK</v>
      </c>
      <c r="AM253" t="str">
        <f t="shared" si="55"/>
        <v>OK</v>
      </c>
      <c r="AN253" t="str">
        <f t="shared" si="56"/>
        <v>OK</v>
      </c>
      <c r="AO253" t="str">
        <f t="shared" si="57"/>
        <v>OK</v>
      </c>
      <c r="AP253" t="str">
        <f t="shared" si="58"/>
        <v>OK</v>
      </c>
      <c r="AQ253" t="str">
        <f t="shared" si="59"/>
        <v>OK</v>
      </c>
    </row>
    <row r="254" spans="1:43" x14ac:dyDescent="0.3">
      <c r="A254" t="s">
        <v>1110</v>
      </c>
      <c r="B254" s="1">
        <v>45633</v>
      </c>
      <c r="C254" t="s">
        <v>1111</v>
      </c>
      <c r="D254" t="s">
        <v>39</v>
      </c>
      <c r="E254" t="s">
        <v>1112</v>
      </c>
      <c r="F254" t="s">
        <v>62</v>
      </c>
      <c r="G254" t="s">
        <v>1113</v>
      </c>
      <c r="H254">
        <v>5499</v>
      </c>
      <c r="I254">
        <v>1</v>
      </c>
      <c r="J254">
        <v>5499</v>
      </c>
      <c r="K254" t="s">
        <v>996</v>
      </c>
      <c r="L254">
        <v>20</v>
      </c>
      <c r="M254" t="s">
        <v>30</v>
      </c>
      <c r="N254" t="s">
        <v>31</v>
      </c>
      <c r="O254" t="s">
        <v>57</v>
      </c>
      <c r="P254" t="s">
        <v>58</v>
      </c>
      <c r="Q254" t="s">
        <v>57</v>
      </c>
      <c r="R254" s="1">
        <v>45647</v>
      </c>
      <c r="S254" t="s">
        <v>34</v>
      </c>
      <c r="T254" t="s">
        <v>35</v>
      </c>
      <c r="U254" t="s">
        <v>29</v>
      </c>
      <c r="V254" s="1"/>
      <c r="W254" t="s">
        <v>36</v>
      </c>
      <c r="AB254" s="2">
        <f t="shared" si="45"/>
        <v>1</v>
      </c>
      <c r="AC254">
        <f t="shared" si="46"/>
        <v>0</v>
      </c>
      <c r="AD254">
        <f t="shared" si="47"/>
        <v>2</v>
      </c>
      <c r="AE254" t="str">
        <f t="shared" si="48"/>
        <v>OK</v>
      </c>
      <c r="AF254" t="str">
        <f t="shared" si="49"/>
        <v>OK</v>
      </c>
      <c r="AG254" t="str">
        <f t="shared" si="50"/>
        <v>OK</v>
      </c>
      <c r="AI254" t="str">
        <f t="shared" si="51"/>
        <v>ERROR</v>
      </c>
      <c r="AJ254" t="str">
        <f t="shared" si="52"/>
        <v>OK</v>
      </c>
      <c r="AK254" t="str">
        <f t="shared" si="53"/>
        <v>OK</v>
      </c>
      <c r="AL254" t="str">
        <f t="shared" si="54"/>
        <v>OK</v>
      </c>
      <c r="AM254" t="str">
        <f t="shared" si="55"/>
        <v>ERROR</v>
      </c>
      <c r="AN254" t="str">
        <f t="shared" si="56"/>
        <v>OK</v>
      </c>
      <c r="AO254" t="str">
        <f t="shared" si="57"/>
        <v>OK</v>
      </c>
      <c r="AP254" t="str">
        <f t="shared" si="58"/>
        <v>OK</v>
      </c>
      <c r="AQ254" t="str">
        <f t="shared" si="59"/>
        <v>OK</v>
      </c>
    </row>
    <row r="255" spans="1:43" x14ac:dyDescent="0.3">
      <c r="A255" t="s">
        <v>1114</v>
      </c>
      <c r="B255" s="1">
        <v>45634</v>
      </c>
      <c r="C255" t="s">
        <v>1115</v>
      </c>
      <c r="D255" t="s">
        <v>25</v>
      </c>
      <c r="E255" t="s">
        <v>1116</v>
      </c>
      <c r="F255" t="s">
        <v>72</v>
      </c>
      <c r="G255" t="s">
        <v>1117</v>
      </c>
      <c r="H255">
        <v>999</v>
      </c>
      <c r="I255">
        <v>1</v>
      </c>
      <c r="J255">
        <v>999</v>
      </c>
      <c r="K255" t="s">
        <v>29</v>
      </c>
      <c r="L255">
        <v>0</v>
      </c>
      <c r="M255" t="s">
        <v>112</v>
      </c>
      <c r="N255" t="s">
        <v>45</v>
      </c>
      <c r="O255" t="s">
        <v>97</v>
      </c>
      <c r="P255" t="s">
        <v>98</v>
      </c>
      <c r="Q255" t="s">
        <v>32</v>
      </c>
      <c r="R255" s="1">
        <v>45648</v>
      </c>
      <c r="S255" t="s">
        <v>34</v>
      </c>
      <c r="T255" t="s">
        <v>35</v>
      </c>
      <c r="U255" t="s">
        <v>29</v>
      </c>
      <c r="V255" s="1"/>
      <c r="W255" t="s">
        <v>36</v>
      </c>
      <c r="AB255" s="2">
        <f t="shared" si="45"/>
        <v>1</v>
      </c>
      <c r="AC255">
        <f t="shared" si="46"/>
        <v>0</v>
      </c>
      <c r="AD255">
        <f t="shared" si="47"/>
        <v>2</v>
      </c>
      <c r="AE255" t="str">
        <f t="shared" si="48"/>
        <v>OK</v>
      </c>
      <c r="AF255" t="str">
        <f t="shared" si="49"/>
        <v>OK</v>
      </c>
      <c r="AG255" t="str">
        <f t="shared" si="50"/>
        <v>OK</v>
      </c>
      <c r="AI255" t="str">
        <f t="shared" si="51"/>
        <v>ERROR</v>
      </c>
      <c r="AJ255" t="str">
        <f t="shared" si="52"/>
        <v>OK</v>
      </c>
      <c r="AK255" t="str">
        <f t="shared" si="53"/>
        <v>OK</v>
      </c>
      <c r="AL255" t="str">
        <f t="shared" si="54"/>
        <v>OK</v>
      </c>
      <c r="AM255" t="str">
        <f t="shared" si="55"/>
        <v>ERROR</v>
      </c>
      <c r="AN255" t="str">
        <f t="shared" si="56"/>
        <v>OK</v>
      </c>
      <c r="AO255" t="str">
        <f t="shared" si="57"/>
        <v>OK</v>
      </c>
      <c r="AP255" t="str">
        <f t="shared" si="58"/>
        <v>OK</v>
      </c>
      <c r="AQ255" t="str">
        <f t="shared" si="59"/>
        <v>OK</v>
      </c>
    </row>
    <row r="256" spans="1:43" x14ac:dyDescent="0.3">
      <c r="A256" t="s">
        <v>1118</v>
      </c>
      <c r="B256" s="1">
        <v>45634</v>
      </c>
      <c r="C256" t="s">
        <v>1119</v>
      </c>
      <c r="D256" t="s">
        <v>25</v>
      </c>
      <c r="E256" t="s">
        <v>262</v>
      </c>
      <c r="F256" t="s">
        <v>27</v>
      </c>
      <c r="G256" t="s">
        <v>263</v>
      </c>
      <c r="H256">
        <v>1699</v>
      </c>
      <c r="I256">
        <v>2</v>
      </c>
      <c r="J256">
        <v>3398</v>
      </c>
      <c r="K256" t="s">
        <v>29</v>
      </c>
      <c r="L256">
        <v>0</v>
      </c>
      <c r="M256" t="s">
        <v>65</v>
      </c>
      <c r="N256" t="s">
        <v>66</v>
      </c>
      <c r="O256" t="s">
        <v>157</v>
      </c>
      <c r="P256" t="s">
        <v>98</v>
      </c>
      <c r="Q256" t="s">
        <v>32</v>
      </c>
      <c r="R256" s="1">
        <v>45648</v>
      </c>
      <c r="S256" t="s">
        <v>34</v>
      </c>
      <c r="T256" t="s">
        <v>47</v>
      </c>
      <c r="U256" t="s">
        <v>48</v>
      </c>
      <c r="V256" s="1">
        <v>45673</v>
      </c>
      <c r="W256" t="s">
        <v>49</v>
      </c>
      <c r="AB256" s="2">
        <f t="shared" si="45"/>
        <v>1</v>
      </c>
      <c r="AC256">
        <f t="shared" si="46"/>
        <v>0</v>
      </c>
      <c r="AD256">
        <f t="shared" si="47"/>
        <v>2</v>
      </c>
      <c r="AE256" t="str">
        <f t="shared" si="48"/>
        <v>OK</v>
      </c>
      <c r="AF256" t="str">
        <f t="shared" si="49"/>
        <v>OK</v>
      </c>
      <c r="AG256" t="str">
        <f t="shared" si="50"/>
        <v>OK</v>
      </c>
      <c r="AI256" t="str">
        <f t="shared" si="51"/>
        <v>ERROR</v>
      </c>
      <c r="AJ256" t="str">
        <f t="shared" si="52"/>
        <v>OK</v>
      </c>
      <c r="AK256" t="str">
        <f t="shared" si="53"/>
        <v>OK</v>
      </c>
      <c r="AL256" t="str">
        <f t="shared" si="54"/>
        <v>OK</v>
      </c>
      <c r="AM256" t="str">
        <f t="shared" si="55"/>
        <v>OK</v>
      </c>
      <c r="AN256" t="str">
        <f t="shared" si="56"/>
        <v>OK</v>
      </c>
      <c r="AO256" t="str">
        <f t="shared" si="57"/>
        <v>OK</v>
      </c>
      <c r="AP256" t="str">
        <f t="shared" si="58"/>
        <v>OK</v>
      </c>
      <c r="AQ256" t="str">
        <f t="shared" si="59"/>
        <v>OK</v>
      </c>
    </row>
    <row r="257" spans="1:43" x14ac:dyDescent="0.3">
      <c r="A257" t="s">
        <v>1120</v>
      </c>
      <c r="B257" s="1">
        <v>45634</v>
      </c>
      <c r="C257" t="s">
        <v>1121</v>
      </c>
      <c r="D257" t="s">
        <v>25</v>
      </c>
      <c r="E257" t="s">
        <v>1122</v>
      </c>
      <c r="F257" t="s">
        <v>41</v>
      </c>
      <c r="G257" t="s">
        <v>1123</v>
      </c>
      <c r="H257">
        <v>2799</v>
      </c>
      <c r="I257">
        <v>1</v>
      </c>
      <c r="J257">
        <v>2799</v>
      </c>
      <c r="K257" t="s">
        <v>996</v>
      </c>
      <c r="L257">
        <v>20</v>
      </c>
      <c r="M257" t="s">
        <v>44</v>
      </c>
      <c r="N257" t="s">
        <v>31</v>
      </c>
      <c r="O257" t="s">
        <v>205</v>
      </c>
      <c r="P257" t="s">
        <v>98</v>
      </c>
      <c r="Q257" t="s">
        <v>32</v>
      </c>
      <c r="R257" s="1">
        <v>45649</v>
      </c>
      <c r="S257" t="s">
        <v>34</v>
      </c>
      <c r="T257" t="s">
        <v>47</v>
      </c>
      <c r="U257" t="s">
        <v>105</v>
      </c>
      <c r="V257" s="1">
        <v>45675</v>
      </c>
      <c r="W257" t="s">
        <v>49</v>
      </c>
      <c r="AB257" s="2">
        <f t="shared" si="45"/>
        <v>1</v>
      </c>
      <c r="AC257">
        <f t="shared" si="46"/>
        <v>0</v>
      </c>
      <c r="AD257">
        <f t="shared" si="47"/>
        <v>2</v>
      </c>
      <c r="AE257" t="str">
        <f t="shared" si="48"/>
        <v>OK</v>
      </c>
      <c r="AF257" t="str">
        <f t="shared" si="49"/>
        <v>OK</v>
      </c>
      <c r="AG257" t="str">
        <f t="shared" si="50"/>
        <v>OK</v>
      </c>
      <c r="AI257" t="str">
        <f t="shared" si="51"/>
        <v>ERROR</v>
      </c>
      <c r="AJ257" t="str">
        <f t="shared" si="52"/>
        <v>OK</v>
      </c>
      <c r="AK257" t="str">
        <f t="shared" si="53"/>
        <v>OK</v>
      </c>
      <c r="AL257" t="str">
        <f t="shared" si="54"/>
        <v>OK</v>
      </c>
      <c r="AM257" t="str">
        <f t="shared" si="55"/>
        <v>OK</v>
      </c>
      <c r="AN257" t="str">
        <f t="shared" si="56"/>
        <v>OK</v>
      </c>
      <c r="AO257" t="str">
        <f t="shared" si="57"/>
        <v>OK</v>
      </c>
      <c r="AP257" t="str">
        <f t="shared" si="58"/>
        <v>OK</v>
      </c>
      <c r="AQ257" t="str">
        <f t="shared" si="59"/>
        <v>OK</v>
      </c>
    </row>
    <row r="258" spans="1:43" x14ac:dyDescent="0.3">
      <c r="A258" t="s">
        <v>1124</v>
      </c>
      <c r="B258" s="1">
        <v>45634</v>
      </c>
      <c r="C258" t="s">
        <v>1125</v>
      </c>
      <c r="D258" t="s">
        <v>25</v>
      </c>
      <c r="E258" t="s">
        <v>1126</v>
      </c>
      <c r="F258" t="s">
        <v>54</v>
      </c>
      <c r="G258" t="s">
        <v>315</v>
      </c>
      <c r="H258">
        <v>2299</v>
      </c>
      <c r="I258">
        <v>1</v>
      </c>
      <c r="J258">
        <v>2299</v>
      </c>
      <c r="K258" t="s">
        <v>29</v>
      </c>
      <c r="L258">
        <v>0</v>
      </c>
      <c r="M258" t="s">
        <v>30</v>
      </c>
      <c r="N258" t="s">
        <v>45</v>
      </c>
      <c r="O258" t="s">
        <v>210</v>
      </c>
      <c r="P258" t="s">
        <v>98</v>
      </c>
      <c r="Q258" t="s">
        <v>32</v>
      </c>
      <c r="R258" s="1">
        <v>45649</v>
      </c>
      <c r="S258" t="s">
        <v>34</v>
      </c>
      <c r="T258" t="s">
        <v>35</v>
      </c>
      <c r="U258" t="s">
        <v>29</v>
      </c>
      <c r="V258" s="1"/>
      <c r="W258" t="s">
        <v>36</v>
      </c>
      <c r="AB258" s="2">
        <f t="shared" si="45"/>
        <v>1</v>
      </c>
      <c r="AC258">
        <f t="shared" si="46"/>
        <v>0</v>
      </c>
      <c r="AD258">
        <f t="shared" si="47"/>
        <v>2</v>
      </c>
      <c r="AE258" t="str">
        <f t="shared" si="48"/>
        <v>OK</v>
      </c>
      <c r="AF258" t="str">
        <f t="shared" si="49"/>
        <v>OK</v>
      </c>
      <c r="AG258" t="str">
        <f t="shared" si="50"/>
        <v>OK</v>
      </c>
      <c r="AI258" t="str">
        <f t="shared" si="51"/>
        <v>ERROR</v>
      </c>
      <c r="AJ258" t="str">
        <f t="shared" si="52"/>
        <v>OK</v>
      </c>
      <c r="AK258" t="str">
        <f t="shared" si="53"/>
        <v>OK</v>
      </c>
      <c r="AL258" t="str">
        <f t="shared" si="54"/>
        <v>OK</v>
      </c>
      <c r="AM258" t="str">
        <f t="shared" si="55"/>
        <v>ERROR</v>
      </c>
      <c r="AN258" t="str">
        <f t="shared" si="56"/>
        <v>OK</v>
      </c>
      <c r="AO258" t="str">
        <f t="shared" si="57"/>
        <v>OK</v>
      </c>
      <c r="AP258" t="str">
        <f t="shared" si="58"/>
        <v>OK</v>
      </c>
      <c r="AQ258" t="str">
        <f t="shared" si="59"/>
        <v>OK</v>
      </c>
    </row>
    <row r="259" spans="1:43" x14ac:dyDescent="0.3">
      <c r="A259" t="s">
        <v>1127</v>
      </c>
      <c r="B259" s="1">
        <v>45635</v>
      </c>
      <c r="C259" t="s">
        <v>1128</v>
      </c>
      <c r="D259" t="s">
        <v>39</v>
      </c>
      <c r="E259" t="s">
        <v>1129</v>
      </c>
      <c r="F259" t="s">
        <v>62</v>
      </c>
      <c r="G259" t="s">
        <v>1130</v>
      </c>
      <c r="H259">
        <v>5999</v>
      </c>
      <c r="I259">
        <v>1</v>
      </c>
      <c r="J259">
        <v>5999</v>
      </c>
      <c r="K259" t="s">
        <v>29</v>
      </c>
      <c r="L259">
        <v>0</v>
      </c>
      <c r="M259" t="s">
        <v>56</v>
      </c>
      <c r="N259" t="s">
        <v>66</v>
      </c>
      <c r="O259" t="s">
        <v>215</v>
      </c>
      <c r="P259" t="s">
        <v>114</v>
      </c>
      <c r="Q259" t="s">
        <v>46</v>
      </c>
      <c r="R259" s="1">
        <v>45650</v>
      </c>
      <c r="S259" t="s">
        <v>34</v>
      </c>
      <c r="T259" t="s">
        <v>47</v>
      </c>
      <c r="U259" t="s">
        <v>80</v>
      </c>
      <c r="V259" s="1">
        <v>45677</v>
      </c>
      <c r="W259" t="s">
        <v>49</v>
      </c>
      <c r="AB259" s="2">
        <f t="shared" ref="AB259:AB322" si="60">COUNTIF(A$2:A$347,A259)</f>
        <v>1</v>
      </c>
      <c r="AC259">
        <f t="shared" ref="AC259:AC322" si="61">LEN(S259)-LEN(TRIM(S259))</f>
        <v>0</v>
      </c>
      <c r="AD259">
        <f t="shared" ref="AD259:AD322" si="62">LEN(E259)-LEN(SUBSTITUTE(E259,"-",""))</f>
        <v>2</v>
      </c>
      <c r="AE259" t="str">
        <f t="shared" ref="AE259:AE322" si="63">IF(I259&gt;10,"FLAG","OK")</f>
        <v>OK</v>
      </c>
      <c r="AF259" t="str">
        <f t="shared" ref="AF259:AF322" si="64">IF(OR(H259&lt;=0,H259&gt;10000),"FLAG","OK")</f>
        <v>OK</v>
      </c>
      <c r="AG259" t="str">
        <f t="shared" ref="AG259:AG322" si="65">IF(OR(L259&lt;0,L259&gt;100),"FLAG","OK")</f>
        <v>OK</v>
      </c>
      <c r="AI259" t="str">
        <f t="shared" ref="AI259:AI322" si="66">IF(AG259=J259,"OK","ERROR")</f>
        <v>ERROR</v>
      </c>
      <c r="AJ259" t="str">
        <f t="shared" ref="AJ259:AJ322" si="67">IF(R259&lt;B259,"ERROR","OK")</f>
        <v>OK</v>
      </c>
      <c r="AK259" t="str">
        <f t="shared" ref="AK259:AK322" si="68">IF(AND(S259="Cancelled",R259&lt;&gt;""),"ERROR","OK")</f>
        <v>OK</v>
      </c>
      <c r="AL259" t="str">
        <f t="shared" ref="AL259:AL322" si="69">IF(AND(T259="Yes",U259=""),"ERROR","OK")</f>
        <v>OK</v>
      </c>
      <c r="AM259" t="str">
        <f t="shared" ref="AM259:AM322" si="70">IF(V259&lt;R259,"ERROR","OK")</f>
        <v>OK</v>
      </c>
      <c r="AN259" t="str">
        <f t="shared" ref="AN259:AN322" si="71">IF(AND(I259&gt;0,MOD(I259,1)=0),"OK","ERROR")</f>
        <v>OK</v>
      </c>
      <c r="AO259" t="str">
        <f t="shared" ref="AO259:AO322" si="72">IF(OR(B259="",B259&lt;DATE(2024,10,1),B259&gt;DATE(2024,12,31)),"ERROR","OK")</f>
        <v>OK</v>
      </c>
      <c r="AP259" t="str">
        <f t="shared" ref="AP259:AP322" si="73">IF(OR(B259&lt;DATE(2024,10,1),B259&gt;DATE(2024,12,31)),"ERROR","OK")</f>
        <v>OK</v>
      </c>
      <c r="AQ259" t="str">
        <f t="shared" ref="AQ259:AQ322" si="74">IF(OR(S259="Delivered",S259="Cancelled",S259="RTO",S259="In Transit"),"OK","ERROR")</f>
        <v>OK</v>
      </c>
    </row>
    <row r="260" spans="1:43" x14ac:dyDescent="0.3">
      <c r="A260" t="s">
        <v>1131</v>
      </c>
      <c r="B260" s="1">
        <v>45635</v>
      </c>
      <c r="C260" t="s">
        <v>1132</v>
      </c>
      <c r="D260" t="s">
        <v>25</v>
      </c>
      <c r="E260" t="s">
        <v>1133</v>
      </c>
      <c r="F260" t="s">
        <v>72</v>
      </c>
      <c r="G260" t="s">
        <v>1134</v>
      </c>
      <c r="H260">
        <v>899</v>
      </c>
      <c r="I260">
        <v>2</v>
      </c>
      <c r="J260">
        <v>1798</v>
      </c>
      <c r="K260" t="s">
        <v>996</v>
      </c>
      <c r="L260">
        <v>20</v>
      </c>
      <c r="M260" t="s">
        <v>112</v>
      </c>
      <c r="N260" t="s">
        <v>31</v>
      </c>
      <c r="O260" t="s">
        <v>32</v>
      </c>
      <c r="P260" t="s">
        <v>33</v>
      </c>
      <c r="Q260" t="s">
        <v>32</v>
      </c>
      <c r="R260" s="1">
        <v>45649</v>
      </c>
      <c r="S260" t="s">
        <v>34</v>
      </c>
      <c r="T260" t="s">
        <v>35</v>
      </c>
      <c r="U260" t="s">
        <v>29</v>
      </c>
      <c r="V260" s="1"/>
      <c r="W260" t="s">
        <v>36</v>
      </c>
      <c r="AB260" s="2">
        <f t="shared" si="60"/>
        <v>1</v>
      </c>
      <c r="AC260">
        <f t="shared" si="61"/>
        <v>0</v>
      </c>
      <c r="AD260">
        <f t="shared" si="62"/>
        <v>2</v>
      </c>
      <c r="AE260" t="str">
        <f t="shared" si="63"/>
        <v>OK</v>
      </c>
      <c r="AF260" t="str">
        <f t="shared" si="64"/>
        <v>OK</v>
      </c>
      <c r="AG260" t="str">
        <f t="shared" si="65"/>
        <v>OK</v>
      </c>
      <c r="AI260" t="str">
        <f t="shared" si="66"/>
        <v>ERROR</v>
      </c>
      <c r="AJ260" t="str">
        <f t="shared" si="67"/>
        <v>OK</v>
      </c>
      <c r="AK260" t="str">
        <f t="shared" si="68"/>
        <v>OK</v>
      </c>
      <c r="AL260" t="str">
        <f t="shared" si="69"/>
        <v>OK</v>
      </c>
      <c r="AM260" t="str">
        <f t="shared" si="70"/>
        <v>ERROR</v>
      </c>
      <c r="AN260" t="str">
        <f t="shared" si="71"/>
        <v>OK</v>
      </c>
      <c r="AO260" t="str">
        <f t="shared" si="72"/>
        <v>OK</v>
      </c>
      <c r="AP260" t="str">
        <f t="shared" si="73"/>
        <v>OK</v>
      </c>
      <c r="AQ260" t="str">
        <f t="shared" si="74"/>
        <v>OK</v>
      </c>
    </row>
    <row r="261" spans="1:43" x14ac:dyDescent="0.3">
      <c r="A261" t="s">
        <v>1135</v>
      </c>
      <c r="B261" s="1">
        <v>45635</v>
      </c>
      <c r="C261" t="s">
        <v>1136</v>
      </c>
      <c r="D261" t="s">
        <v>25</v>
      </c>
      <c r="E261" t="s">
        <v>1137</v>
      </c>
      <c r="F261" t="s">
        <v>27</v>
      </c>
      <c r="G261" t="s">
        <v>1138</v>
      </c>
      <c r="H261">
        <v>2099</v>
      </c>
      <c r="I261">
        <v>1</v>
      </c>
      <c r="J261">
        <v>2099</v>
      </c>
      <c r="K261" t="s">
        <v>29</v>
      </c>
      <c r="L261">
        <v>0</v>
      </c>
      <c r="M261" t="s">
        <v>65</v>
      </c>
      <c r="N261" t="s">
        <v>45</v>
      </c>
      <c r="O261" t="s">
        <v>46</v>
      </c>
      <c r="P261" t="s">
        <v>46</v>
      </c>
      <c r="Q261" t="s">
        <v>46</v>
      </c>
      <c r="R261" s="1">
        <v>45650</v>
      </c>
      <c r="S261" t="s">
        <v>34</v>
      </c>
      <c r="T261" t="s">
        <v>47</v>
      </c>
      <c r="U261" t="s">
        <v>69</v>
      </c>
      <c r="V261" s="1">
        <v>45676</v>
      </c>
      <c r="W261" t="s">
        <v>49</v>
      </c>
      <c r="AB261" s="2">
        <f t="shared" si="60"/>
        <v>1</v>
      </c>
      <c r="AC261">
        <f t="shared" si="61"/>
        <v>0</v>
      </c>
      <c r="AD261">
        <f t="shared" si="62"/>
        <v>2</v>
      </c>
      <c r="AE261" t="str">
        <f t="shared" si="63"/>
        <v>OK</v>
      </c>
      <c r="AF261" t="str">
        <f t="shared" si="64"/>
        <v>OK</v>
      </c>
      <c r="AG261" t="str">
        <f t="shared" si="65"/>
        <v>OK</v>
      </c>
      <c r="AI261" t="str">
        <f t="shared" si="66"/>
        <v>ERROR</v>
      </c>
      <c r="AJ261" t="str">
        <f t="shared" si="67"/>
        <v>OK</v>
      </c>
      <c r="AK261" t="str">
        <f t="shared" si="68"/>
        <v>OK</v>
      </c>
      <c r="AL261" t="str">
        <f t="shared" si="69"/>
        <v>OK</v>
      </c>
      <c r="AM261" t="str">
        <f t="shared" si="70"/>
        <v>OK</v>
      </c>
      <c r="AN261" t="str">
        <f t="shared" si="71"/>
        <v>OK</v>
      </c>
      <c r="AO261" t="str">
        <f t="shared" si="72"/>
        <v>OK</v>
      </c>
      <c r="AP261" t="str">
        <f t="shared" si="73"/>
        <v>OK</v>
      </c>
      <c r="AQ261" t="str">
        <f t="shared" si="74"/>
        <v>OK</v>
      </c>
    </row>
    <row r="262" spans="1:43" x14ac:dyDescent="0.3">
      <c r="A262" t="s">
        <v>1139</v>
      </c>
      <c r="B262" s="1">
        <v>45636</v>
      </c>
      <c r="C262" t="s">
        <v>1140</v>
      </c>
      <c r="D262" t="s">
        <v>25</v>
      </c>
      <c r="E262" t="s">
        <v>1141</v>
      </c>
      <c r="F262" t="s">
        <v>41</v>
      </c>
      <c r="G262" t="s">
        <v>1142</v>
      </c>
      <c r="H262">
        <v>3999</v>
      </c>
      <c r="I262">
        <v>1</v>
      </c>
      <c r="J262">
        <v>3999</v>
      </c>
      <c r="K262" t="s">
        <v>29</v>
      </c>
      <c r="L262">
        <v>0</v>
      </c>
      <c r="M262" t="s">
        <v>44</v>
      </c>
      <c r="N262" t="s">
        <v>66</v>
      </c>
      <c r="O262" t="s">
        <v>119</v>
      </c>
      <c r="P262" t="s">
        <v>120</v>
      </c>
      <c r="Q262" t="s">
        <v>46</v>
      </c>
      <c r="R262" s="1">
        <v>45651</v>
      </c>
      <c r="S262" t="s">
        <v>34</v>
      </c>
      <c r="T262" t="s">
        <v>47</v>
      </c>
      <c r="U262" t="s">
        <v>48</v>
      </c>
      <c r="V262" s="1">
        <v>45679</v>
      </c>
      <c r="W262" t="s">
        <v>49</v>
      </c>
      <c r="AB262" s="2">
        <f t="shared" si="60"/>
        <v>1</v>
      </c>
      <c r="AC262">
        <f t="shared" si="61"/>
        <v>0</v>
      </c>
      <c r="AD262">
        <f t="shared" si="62"/>
        <v>2</v>
      </c>
      <c r="AE262" t="str">
        <f t="shared" si="63"/>
        <v>OK</v>
      </c>
      <c r="AF262" t="str">
        <f t="shared" si="64"/>
        <v>OK</v>
      </c>
      <c r="AG262" t="str">
        <f t="shared" si="65"/>
        <v>OK</v>
      </c>
      <c r="AI262" t="str">
        <f t="shared" si="66"/>
        <v>ERROR</v>
      </c>
      <c r="AJ262" t="str">
        <f t="shared" si="67"/>
        <v>OK</v>
      </c>
      <c r="AK262" t="str">
        <f t="shared" si="68"/>
        <v>OK</v>
      </c>
      <c r="AL262" t="str">
        <f t="shared" si="69"/>
        <v>OK</v>
      </c>
      <c r="AM262" t="str">
        <f t="shared" si="70"/>
        <v>OK</v>
      </c>
      <c r="AN262" t="str">
        <f t="shared" si="71"/>
        <v>OK</v>
      </c>
      <c r="AO262" t="str">
        <f t="shared" si="72"/>
        <v>OK</v>
      </c>
      <c r="AP262" t="str">
        <f t="shared" si="73"/>
        <v>OK</v>
      </c>
      <c r="AQ262" t="str">
        <f t="shared" si="74"/>
        <v>OK</v>
      </c>
    </row>
    <row r="263" spans="1:43" x14ac:dyDescent="0.3">
      <c r="A263" t="s">
        <v>1143</v>
      </c>
      <c r="B263" s="1">
        <v>45636</v>
      </c>
      <c r="C263" t="s">
        <v>1144</v>
      </c>
      <c r="D263" t="s">
        <v>25</v>
      </c>
      <c r="E263" t="s">
        <v>1145</v>
      </c>
      <c r="F263" t="s">
        <v>54</v>
      </c>
      <c r="G263" t="s">
        <v>1146</v>
      </c>
      <c r="H263">
        <v>2499</v>
      </c>
      <c r="I263">
        <v>1</v>
      </c>
      <c r="J263">
        <v>2499</v>
      </c>
      <c r="K263" t="s">
        <v>996</v>
      </c>
      <c r="L263">
        <v>20</v>
      </c>
      <c r="M263" t="s">
        <v>30</v>
      </c>
      <c r="N263" t="s">
        <v>31</v>
      </c>
      <c r="O263" t="s">
        <v>138</v>
      </c>
      <c r="P263" t="s">
        <v>114</v>
      </c>
      <c r="Q263" t="s">
        <v>46</v>
      </c>
      <c r="R263" s="1">
        <v>45651</v>
      </c>
      <c r="S263" t="s">
        <v>34</v>
      </c>
      <c r="T263" t="s">
        <v>35</v>
      </c>
      <c r="U263" t="s">
        <v>29</v>
      </c>
      <c r="V263" s="1"/>
      <c r="W263" t="s">
        <v>36</v>
      </c>
      <c r="AB263" s="2">
        <f t="shared" si="60"/>
        <v>1</v>
      </c>
      <c r="AC263">
        <f t="shared" si="61"/>
        <v>0</v>
      </c>
      <c r="AD263">
        <f t="shared" si="62"/>
        <v>2</v>
      </c>
      <c r="AE263" t="str">
        <f t="shared" si="63"/>
        <v>OK</v>
      </c>
      <c r="AF263" t="str">
        <f t="shared" si="64"/>
        <v>OK</v>
      </c>
      <c r="AG263" t="str">
        <f t="shared" si="65"/>
        <v>OK</v>
      </c>
      <c r="AI263" t="str">
        <f t="shared" si="66"/>
        <v>ERROR</v>
      </c>
      <c r="AJ263" t="str">
        <f t="shared" si="67"/>
        <v>OK</v>
      </c>
      <c r="AK263" t="str">
        <f t="shared" si="68"/>
        <v>OK</v>
      </c>
      <c r="AL263" t="str">
        <f t="shared" si="69"/>
        <v>OK</v>
      </c>
      <c r="AM263" t="str">
        <f t="shared" si="70"/>
        <v>ERROR</v>
      </c>
      <c r="AN263" t="str">
        <f t="shared" si="71"/>
        <v>OK</v>
      </c>
      <c r="AO263" t="str">
        <f t="shared" si="72"/>
        <v>OK</v>
      </c>
      <c r="AP263" t="str">
        <f t="shared" si="73"/>
        <v>OK</v>
      </c>
      <c r="AQ263" t="str">
        <f t="shared" si="74"/>
        <v>OK</v>
      </c>
    </row>
    <row r="264" spans="1:43" x14ac:dyDescent="0.3">
      <c r="A264" t="s">
        <v>1147</v>
      </c>
      <c r="B264" s="1">
        <v>45636</v>
      </c>
      <c r="C264" t="s">
        <v>1148</v>
      </c>
      <c r="D264" t="s">
        <v>39</v>
      </c>
      <c r="E264" t="s">
        <v>1149</v>
      </c>
      <c r="F264" t="s">
        <v>62</v>
      </c>
      <c r="G264" t="s">
        <v>1150</v>
      </c>
      <c r="H264">
        <v>4899</v>
      </c>
      <c r="I264">
        <v>1</v>
      </c>
      <c r="J264">
        <v>4899</v>
      </c>
      <c r="K264" t="s">
        <v>29</v>
      </c>
      <c r="L264">
        <v>0</v>
      </c>
      <c r="M264" t="s">
        <v>56</v>
      </c>
      <c r="N264" t="s">
        <v>45</v>
      </c>
      <c r="O264" t="s">
        <v>144</v>
      </c>
      <c r="P264" t="s">
        <v>145</v>
      </c>
      <c r="Q264" t="s">
        <v>46</v>
      </c>
      <c r="R264" s="1">
        <v>45652</v>
      </c>
      <c r="S264" t="s">
        <v>34</v>
      </c>
      <c r="T264" t="s">
        <v>47</v>
      </c>
      <c r="U264" t="s">
        <v>105</v>
      </c>
      <c r="V264" s="1">
        <v>45680</v>
      </c>
      <c r="W264" t="s">
        <v>49</v>
      </c>
      <c r="AB264" s="2">
        <f t="shared" si="60"/>
        <v>1</v>
      </c>
      <c r="AC264">
        <f t="shared" si="61"/>
        <v>0</v>
      </c>
      <c r="AD264">
        <f t="shared" si="62"/>
        <v>2</v>
      </c>
      <c r="AE264" t="str">
        <f t="shared" si="63"/>
        <v>OK</v>
      </c>
      <c r="AF264" t="str">
        <f t="shared" si="64"/>
        <v>OK</v>
      </c>
      <c r="AG264" t="str">
        <f t="shared" si="65"/>
        <v>OK</v>
      </c>
      <c r="AI264" t="str">
        <f t="shared" si="66"/>
        <v>ERROR</v>
      </c>
      <c r="AJ264" t="str">
        <f t="shared" si="67"/>
        <v>OK</v>
      </c>
      <c r="AK264" t="str">
        <f t="shared" si="68"/>
        <v>OK</v>
      </c>
      <c r="AL264" t="str">
        <f t="shared" si="69"/>
        <v>OK</v>
      </c>
      <c r="AM264" t="str">
        <f t="shared" si="70"/>
        <v>OK</v>
      </c>
      <c r="AN264" t="str">
        <f t="shared" si="71"/>
        <v>OK</v>
      </c>
      <c r="AO264" t="str">
        <f t="shared" si="72"/>
        <v>OK</v>
      </c>
      <c r="AP264" t="str">
        <f t="shared" si="73"/>
        <v>OK</v>
      </c>
      <c r="AQ264" t="str">
        <f t="shared" si="74"/>
        <v>OK</v>
      </c>
    </row>
    <row r="265" spans="1:43" x14ac:dyDescent="0.3">
      <c r="A265" t="s">
        <v>1151</v>
      </c>
      <c r="B265" s="1">
        <v>45636</v>
      </c>
      <c r="C265" t="s">
        <v>1152</v>
      </c>
      <c r="D265" t="s">
        <v>25</v>
      </c>
      <c r="E265" t="s">
        <v>1153</v>
      </c>
      <c r="F265" t="s">
        <v>72</v>
      </c>
      <c r="G265" t="s">
        <v>1154</v>
      </c>
      <c r="H265">
        <v>1199</v>
      </c>
      <c r="I265">
        <v>1</v>
      </c>
      <c r="J265">
        <v>1199</v>
      </c>
      <c r="K265" t="s">
        <v>29</v>
      </c>
      <c r="L265">
        <v>0</v>
      </c>
      <c r="M265" t="s">
        <v>112</v>
      </c>
      <c r="N265" t="s">
        <v>66</v>
      </c>
      <c r="O265" t="s">
        <v>151</v>
      </c>
      <c r="P265" t="s">
        <v>152</v>
      </c>
      <c r="Q265" t="s">
        <v>32</v>
      </c>
      <c r="R265" s="1">
        <v>45651</v>
      </c>
      <c r="S265" t="s">
        <v>34</v>
      </c>
      <c r="T265" t="s">
        <v>35</v>
      </c>
      <c r="U265" t="s">
        <v>29</v>
      </c>
      <c r="V265" s="1"/>
      <c r="W265" t="s">
        <v>36</v>
      </c>
      <c r="AB265" s="2">
        <f t="shared" si="60"/>
        <v>1</v>
      </c>
      <c r="AC265">
        <f t="shared" si="61"/>
        <v>0</v>
      </c>
      <c r="AD265">
        <f t="shared" si="62"/>
        <v>2</v>
      </c>
      <c r="AE265" t="str">
        <f t="shared" si="63"/>
        <v>OK</v>
      </c>
      <c r="AF265" t="str">
        <f t="shared" si="64"/>
        <v>OK</v>
      </c>
      <c r="AG265" t="str">
        <f t="shared" si="65"/>
        <v>OK</v>
      </c>
      <c r="AI265" t="str">
        <f t="shared" si="66"/>
        <v>ERROR</v>
      </c>
      <c r="AJ265" t="str">
        <f t="shared" si="67"/>
        <v>OK</v>
      </c>
      <c r="AK265" t="str">
        <f t="shared" si="68"/>
        <v>OK</v>
      </c>
      <c r="AL265" t="str">
        <f t="shared" si="69"/>
        <v>OK</v>
      </c>
      <c r="AM265" t="str">
        <f t="shared" si="70"/>
        <v>ERROR</v>
      </c>
      <c r="AN265" t="str">
        <f t="shared" si="71"/>
        <v>OK</v>
      </c>
      <c r="AO265" t="str">
        <f t="shared" si="72"/>
        <v>OK</v>
      </c>
      <c r="AP265" t="str">
        <f t="shared" si="73"/>
        <v>OK</v>
      </c>
      <c r="AQ265" t="str">
        <f t="shared" si="74"/>
        <v>OK</v>
      </c>
    </row>
    <row r="266" spans="1:43" x14ac:dyDescent="0.3">
      <c r="A266" t="s">
        <v>1155</v>
      </c>
      <c r="B266" s="1">
        <v>45636</v>
      </c>
      <c r="C266" t="s">
        <v>1156</v>
      </c>
      <c r="D266" t="s">
        <v>25</v>
      </c>
      <c r="E266" t="s">
        <v>1157</v>
      </c>
      <c r="F266" t="s">
        <v>27</v>
      </c>
      <c r="G266" t="s">
        <v>1158</v>
      </c>
      <c r="H266">
        <v>1899</v>
      </c>
      <c r="I266">
        <v>1</v>
      </c>
      <c r="J266">
        <v>1899</v>
      </c>
      <c r="K266" t="s">
        <v>996</v>
      </c>
      <c r="L266">
        <v>20</v>
      </c>
      <c r="M266" t="s">
        <v>65</v>
      </c>
      <c r="N266" t="s">
        <v>31</v>
      </c>
      <c r="O266" t="s">
        <v>157</v>
      </c>
      <c r="P266" t="s">
        <v>98</v>
      </c>
      <c r="Q266" t="s">
        <v>32</v>
      </c>
      <c r="R266" s="1">
        <v>45652</v>
      </c>
      <c r="S266" t="s">
        <v>34</v>
      </c>
      <c r="T266" t="s">
        <v>47</v>
      </c>
      <c r="U266" t="s">
        <v>139</v>
      </c>
      <c r="V266" s="1">
        <v>45678</v>
      </c>
      <c r="W266" t="s">
        <v>49</v>
      </c>
      <c r="AB266" s="2">
        <f t="shared" si="60"/>
        <v>1</v>
      </c>
      <c r="AC266">
        <f t="shared" si="61"/>
        <v>0</v>
      </c>
      <c r="AD266">
        <f t="shared" si="62"/>
        <v>2</v>
      </c>
      <c r="AE266" t="str">
        <f t="shared" si="63"/>
        <v>OK</v>
      </c>
      <c r="AF266" t="str">
        <f t="shared" si="64"/>
        <v>OK</v>
      </c>
      <c r="AG266" t="str">
        <f t="shared" si="65"/>
        <v>OK</v>
      </c>
      <c r="AI266" t="str">
        <f t="shared" si="66"/>
        <v>ERROR</v>
      </c>
      <c r="AJ266" t="str">
        <f t="shared" si="67"/>
        <v>OK</v>
      </c>
      <c r="AK266" t="str">
        <f t="shared" si="68"/>
        <v>OK</v>
      </c>
      <c r="AL266" t="str">
        <f t="shared" si="69"/>
        <v>OK</v>
      </c>
      <c r="AM266" t="str">
        <f t="shared" si="70"/>
        <v>OK</v>
      </c>
      <c r="AN266" t="str">
        <f t="shared" si="71"/>
        <v>OK</v>
      </c>
      <c r="AO266" t="str">
        <f t="shared" si="72"/>
        <v>OK</v>
      </c>
      <c r="AP266" t="str">
        <f t="shared" si="73"/>
        <v>OK</v>
      </c>
      <c r="AQ266" t="str">
        <f t="shared" si="74"/>
        <v>OK</v>
      </c>
    </row>
    <row r="267" spans="1:43" x14ac:dyDescent="0.3">
      <c r="A267" t="s">
        <v>1159</v>
      </c>
      <c r="B267" s="1">
        <v>45637</v>
      </c>
      <c r="C267" t="s">
        <v>1160</v>
      </c>
      <c r="D267" t="s">
        <v>25</v>
      </c>
      <c r="E267" t="s">
        <v>1161</v>
      </c>
      <c r="F267" t="s">
        <v>41</v>
      </c>
      <c r="G267" t="s">
        <v>1162</v>
      </c>
      <c r="H267">
        <v>3599</v>
      </c>
      <c r="I267">
        <v>1</v>
      </c>
      <c r="J267">
        <v>3599</v>
      </c>
      <c r="K267" t="s">
        <v>29</v>
      </c>
      <c r="L267">
        <v>0</v>
      </c>
      <c r="M267" t="s">
        <v>44</v>
      </c>
      <c r="N267" t="s">
        <v>45</v>
      </c>
      <c r="O267" t="s">
        <v>162</v>
      </c>
      <c r="P267" t="s">
        <v>163</v>
      </c>
      <c r="Q267" t="s">
        <v>46</v>
      </c>
      <c r="R267" s="1">
        <v>45653</v>
      </c>
      <c r="S267" t="s">
        <v>34</v>
      </c>
      <c r="T267" t="s">
        <v>35</v>
      </c>
      <c r="U267" t="s">
        <v>29</v>
      </c>
      <c r="V267" s="1"/>
      <c r="W267" t="s">
        <v>36</v>
      </c>
      <c r="AB267" s="2">
        <f t="shared" si="60"/>
        <v>1</v>
      </c>
      <c r="AC267">
        <f t="shared" si="61"/>
        <v>0</v>
      </c>
      <c r="AD267">
        <f t="shared" si="62"/>
        <v>2</v>
      </c>
      <c r="AE267" t="str">
        <f t="shared" si="63"/>
        <v>OK</v>
      </c>
      <c r="AF267" t="str">
        <f t="shared" si="64"/>
        <v>OK</v>
      </c>
      <c r="AG267" t="str">
        <f t="shared" si="65"/>
        <v>OK</v>
      </c>
      <c r="AI267" t="str">
        <f t="shared" si="66"/>
        <v>ERROR</v>
      </c>
      <c r="AJ267" t="str">
        <f t="shared" si="67"/>
        <v>OK</v>
      </c>
      <c r="AK267" t="str">
        <f t="shared" si="68"/>
        <v>OK</v>
      </c>
      <c r="AL267" t="str">
        <f t="shared" si="69"/>
        <v>OK</v>
      </c>
      <c r="AM267" t="str">
        <f t="shared" si="70"/>
        <v>ERROR</v>
      </c>
      <c r="AN267" t="str">
        <f t="shared" si="71"/>
        <v>OK</v>
      </c>
      <c r="AO267" t="str">
        <f t="shared" si="72"/>
        <v>OK</v>
      </c>
      <c r="AP267" t="str">
        <f t="shared" si="73"/>
        <v>OK</v>
      </c>
      <c r="AQ267" t="str">
        <f t="shared" si="74"/>
        <v>OK</v>
      </c>
    </row>
    <row r="268" spans="1:43" x14ac:dyDescent="0.3">
      <c r="A268" t="s">
        <v>1163</v>
      </c>
      <c r="B268" s="1">
        <v>45637</v>
      </c>
      <c r="C268" t="s">
        <v>1164</v>
      </c>
      <c r="D268" t="s">
        <v>25</v>
      </c>
      <c r="E268" t="s">
        <v>1165</v>
      </c>
      <c r="F268" t="s">
        <v>54</v>
      </c>
      <c r="G268" t="s">
        <v>1166</v>
      </c>
      <c r="H268">
        <v>2699</v>
      </c>
      <c r="I268">
        <v>1</v>
      </c>
      <c r="J268">
        <v>2699</v>
      </c>
      <c r="K268" t="s">
        <v>29</v>
      </c>
      <c r="L268">
        <v>0</v>
      </c>
      <c r="M268" t="s">
        <v>30</v>
      </c>
      <c r="N268" t="s">
        <v>66</v>
      </c>
      <c r="O268" t="s">
        <v>168</v>
      </c>
      <c r="P268" t="s">
        <v>152</v>
      </c>
      <c r="Q268" t="s">
        <v>32</v>
      </c>
      <c r="R268" s="1">
        <v>45653</v>
      </c>
      <c r="S268" t="s">
        <v>34</v>
      </c>
      <c r="T268" t="s">
        <v>47</v>
      </c>
      <c r="U268" t="s">
        <v>48</v>
      </c>
      <c r="V268" s="1">
        <v>45681</v>
      </c>
      <c r="W268" t="s">
        <v>49</v>
      </c>
      <c r="AB268" s="2">
        <f t="shared" si="60"/>
        <v>1</v>
      </c>
      <c r="AC268">
        <f t="shared" si="61"/>
        <v>0</v>
      </c>
      <c r="AD268">
        <f t="shared" si="62"/>
        <v>2</v>
      </c>
      <c r="AE268" t="str">
        <f t="shared" si="63"/>
        <v>OK</v>
      </c>
      <c r="AF268" t="str">
        <f t="shared" si="64"/>
        <v>OK</v>
      </c>
      <c r="AG268" t="str">
        <f t="shared" si="65"/>
        <v>OK</v>
      </c>
      <c r="AI268" t="str">
        <f t="shared" si="66"/>
        <v>ERROR</v>
      </c>
      <c r="AJ268" t="str">
        <f t="shared" si="67"/>
        <v>OK</v>
      </c>
      <c r="AK268" t="str">
        <f t="shared" si="68"/>
        <v>OK</v>
      </c>
      <c r="AL268" t="str">
        <f t="shared" si="69"/>
        <v>OK</v>
      </c>
      <c r="AM268" t="str">
        <f t="shared" si="70"/>
        <v>OK</v>
      </c>
      <c r="AN268" t="str">
        <f t="shared" si="71"/>
        <v>OK</v>
      </c>
      <c r="AO268" t="str">
        <f t="shared" si="72"/>
        <v>OK</v>
      </c>
      <c r="AP268" t="str">
        <f t="shared" si="73"/>
        <v>OK</v>
      </c>
      <c r="AQ268" t="str">
        <f t="shared" si="74"/>
        <v>OK</v>
      </c>
    </row>
    <row r="269" spans="1:43" x14ac:dyDescent="0.3">
      <c r="A269" t="s">
        <v>1167</v>
      </c>
      <c r="B269" s="1">
        <v>45637</v>
      </c>
      <c r="C269" t="s">
        <v>1168</v>
      </c>
      <c r="D269" t="s">
        <v>39</v>
      </c>
      <c r="E269" t="s">
        <v>1169</v>
      </c>
      <c r="F269" t="s">
        <v>62</v>
      </c>
      <c r="G269" t="s">
        <v>1170</v>
      </c>
      <c r="H269">
        <v>5599</v>
      </c>
      <c r="I269">
        <v>1</v>
      </c>
      <c r="J269">
        <v>5599</v>
      </c>
      <c r="K269" t="s">
        <v>996</v>
      </c>
      <c r="L269">
        <v>20</v>
      </c>
      <c r="M269" t="s">
        <v>56</v>
      </c>
      <c r="N269" t="s">
        <v>31</v>
      </c>
      <c r="O269" t="s">
        <v>173</v>
      </c>
      <c r="P269" t="s">
        <v>33</v>
      </c>
      <c r="Q269" t="s">
        <v>32</v>
      </c>
      <c r="R269" s="1">
        <v>45654</v>
      </c>
      <c r="S269" t="s">
        <v>34</v>
      </c>
      <c r="T269" t="s">
        <v>47</v>
      </c>
      <c r="U269" t="s">
        <v>80</v>
      </c>
      <c r="V269" s="1">
        <v>45682</v>
      </c>
      <c r="W269" t="s">
        <v>49</v>
      </c>
      <c r="AB269" s="2">
        <f t="shared" si="60"/>
        <v>1</v>
      </c>
      <c r="AC269">
        <f t="shared" si="61"/>
        <v>0</v>
      </c>
      <c r="AD269">
        <f t="shared" si="62"/>
        <v>2</v>
      </c>
      <c r="AE269" t="str">
        <f t="shared" si="63"/>
        <v>OK</v>
      </c>
      <c r="AF269" t="str">
        <f t="shared" si="64"/>
        <v>OK</v>
      </c>
      <c r="AG269" t="str">
        <f t="shared" si="65"/>
        <v>OK</v>
      </c>
      <c r="AI269" t="str">
        <f t="shared" si="66"/>
        <v>ERROR</v>
      </c>
      <c r="AJ269" t="str">
        <f t="shared" si="67"/>
        <v>OK</v>
      </c>
      <c r="AK269" t="str">
        <f t="shared" si="68"/>
        <v>OK</v>
      </c>
      <c r="AL269" t="str">
        <f t="shared" si="69"/>
        <v>OK</v>
      </c>
      <c r="AM269" t="str">
        <f t="shared" si="70"/>
        <v>OK</v>
      </c>
      <c r="AN269" t="str">
        <f t="shared" si="71"/>
        <v>OK</v>
      </c>
      <c r="AO269" t="str">
        <f t="shared" si="72"/>
        <v>OK</v>
      </c>
      <c r="AP269" t="str">
        <f t="shared" si="73"/>
        <v>OK</v>
      </c>
      <c r="AQ269" t="str">
        <f t="shared" si="74"/>
        <v>OK</v>
      </c>
    </row>
    <row r="270" spans="1:43" x14ac:dyDescent="0.3">
      <c r="A270" t="s">
        <v>1171</v>
      </c>
      <c r="B270" s="1">
        <v>45637</v>
      </c>
      <c r="C270" t="s">
        <v>1172</v>
      </c>
      <c r="D270" t="s">
        <v>25</v>
      </c>
      <c r="E270" t="s">
        <v>1173</v>
      </c>
      <c r="F270" t="s">
        <v>72</v>
      </c>
      <c r="G270" t="s">
        <v>1174</v>
      </c>
      <c r="H270">
        <v>399</v>
      </c>
      <c r="I270">
        <v>3</v>
      </c>
      <c r="J270">
        <v>1197</v>
      </c>
      <c r="K270" t="s">
        <v>29</v>
      </c>
      <c r="L270">
        <v>0</v>
      </c>
      <c r="M270" t="s">
        <v>112</v>
      </c>
      <c r="N270" t="s">
        <v>45</v>
      </c>
      <c r="O270" t="s">
        <v>178</v>
      </c>
      <c r="P270" t="s">
        <v>68</v>
      </c>
      <c r="Q270" t="s">
        <v>57</v>
      </c>
      <c r="R270" s="1">
        <v>45653</v>
      </c>
      <c r="S270" t="s">
        <v>34</v>
      </c>
      <c r="T270" t="s">
        <v>35</v>
      </c>
      <c r="U270" t="s">
        <v>29</v>
      </c>
      <c r="V270" s="1"/>
      <c r="W270" t="s">
        <v>36</v>
      </c>
      <c r="AB270" s="2">
        <f t="shared" si="60"/>
        <v>1</v>
      </c>
      <c r="AC270">
        <f t="shared" si="61"/>
        <v>0</v>
      </c>
      <c r="AD270">
        <f t="shared" si="62"/>
        <v>2</v>
      </c>
      <c r="AE270" t="str">
        <f t="shared" si="63"/>
        <v>OK</v>
      </c>
      <c r="AF270" t="str">
        <f t="shared" si="64"/>
        <v>OK</v>
      </c>
      <c r="AG270" t="str">
        <f t="shared" si="65"/>
        <v>OK</v>
      </c>
      <c r="AI270" t="str">
        <f t="shared" si="66"/>
        <v>ERROR</v>
      </c>
      <c r="AJ270" t="str">
        <f t="shared" si="67"/>
        <v>OK</v>
      </c>
      <c r="AK270" t="str">
        <f t="shared" si="68"/>
        <v>OK</v>
      </c>
      <c r="AL270" t="str">
        <f t="shared" si="69"/>
        <v>OK</v>
      </c>
      <c r="AM270" t="str">
        <f t="shared" si="70"/>
        <v>ERROR</v>
      </c>
      <c r="AN270" t="str">
        <f t="shared" si="71"/>
        <v>OK</v>
      </c>
      <c r="AO270" t="str">
        <f t="shared" si="72"/>
        <v>OK</v>
      </c>
      <c r="AP270" t="str">
        <f t="shared" si="73"/>
        <v>OK</v>
      </c>
      <c r="AQ270" t="str">
        <f t="shared" si="74"/>
        <v>OK</v>
      </c>
    </row>
    <row r="271" spans="1:43" x14ac:dyDescent="0.3">
      <c r="A271" t="s">
        <v>1175</v>
      </c>
      <c r="B271" s="1">
        <v>45638</v>
      </c>
      <c r="C271" t="s">
        <v>1176</v>
      </c>
      <c r="D271" t="s">
        <v>25</v>
      </c>
      <c r="E271" t="s">
        <v>1177</v>
      </c>
      <c r="F271" t="s">
        <v>27</v>
      </c>
      <c r="G271" t="s">
        <v>1178</v>
      </c>
      <c r="H271">
        <v>2199</v>
      </c>
      <c r="I271">
        <v>1</v>
      </c>
      <c r="J271">
        <v>2199</v>
      </c>
      <c r="K271" t="s">
        <v>29</v>
      </c>
      <c r="L271">
        <v>0</v>
      </c>
      <c r="M271" t="s">
        <v>65</v>
      </c>
      <c r="N271" t="s">
        <v>66</v>
      </c>
      <c r="O271" t="s">
        <v>183</v>
      </c>
      <c r="P271" t="s">
        <v>184</v>
      </c>
      <c r="Q271" t="s">
        <v>57</v>
      </c>
      <c r="R271" s="1">
        <v>45654</v>
      </c>
      <c r="S271" t="s">
        <v>34</v>
      </c>
      <c r="T271" t="s">
        <v>47</v>
      </c>
      <c r="U271" t="s">
        <v>69</v>
      </c>
      <c r="V271" s="1">
        <v>45680</v>
      </c>
      <c r="W271" t="s">
        <v>49</v>
      </c>
      <c r="AB271" s="2">
        <f t="shared" si="60"/>
        <v>1</v>
      </c>
      <c r="AC271">
        <f t="shared" si="61"/>
        <v>0</v>
      </c>
      <c r="AD271">
        <f t="shared" si="62"/>
        <v>2</v>
      </c>
      <c r="AE271" t="str">
        <f t="shared" si="63"/>
        <v>OK</v>
      </c>
      <c r="AF271" t="str">
        <f t="shared" si="64"/>
        <v>OK</v>
      </c>
      <c r="AG271" t="str">
        <f t="shared" si="65"/>
        <v>OK</v>
      </c>
      <c r="AI271" t="str">
        <f t="shared" si="66"/>
        <v>ERROR</v>
      </c>
      <c r="AJ271" t="str">
        <f t="shared" si="67"/>
        <v>OK</v>
      </c>
      <c r="AK271" t="str">
        <f t="shared" si="68"/>
        <v>OK</v>
      </c>
      <c r="AL271" t="str">
        <f t="shared" si="69"/>
        <v>OK</v>
      </c>
      <c r="AM271" t="str">
        <f t="shared" si="70"/>
        <v>OK</v>
      </c>
      <c r="AN271" t="str">
        <f t="shared" si="71"/>
        <v>OK</v>
      </c>
      <c r="AO271" t="str">
        <f t="shared" si="72"/>
        <v>OK</v>
      </c>
      <c r="AP271" t="str">
        <f t="shared" si="73"/>
        <v>OK</v>
      </c>
      <c r="AQ271" t="str">
        <f t="shared" si="74"/>
        <v>OK</v>
      </c>
    </row>
    <row r="272" spans="1:43" x14ac:dyDescent="0.3">
      <c r="A272" t="s">
        <v>1179</v>
      </c>
      <c r="B272" s="1">
        <v>45638</v>
      </c>
      <c r="C272" t="s">
        <v>1180</v>
      </c>
      <c r="D272" t="s">
        <v>25</v>
      </c>
      <c r="E272" t="s">
        <v>1181</v>
      </c>
      <c r="F272" t="s">
        <v>41</v>
      </c>
      <c r="G272" t="s">
        <v>1182</v>
      </c>
      <c r="H272">
        <v>4299</v>
      </c>
      <c r="I272">
        <v>1</v>
      </c>
      <c r="J272">
        <v>4299</v>
      </c>
      <c r="K272" t="s">
        <v>996</v>
      </c>
      <c r="L272">
        <v>20</v>
      </c>
      <c r="M272" t="s">
        <v>44</v>
      </c>
      <c r="N272" t="s">
        <v>31</v>
      </c>
      <c r="O272" t="s">
        <v>189</v>
      </c>
      <c r="P272" t="s">
        <v>190</v>
      </c>
      <c r="Q272" t="s">
        <v>57</v>
      </c>
      <c r="R272" s="1">
        <v>45655</v>
      </c>
      <c r="S272" t="s">
        <v>34</v>
      </c>
      <c r="T272" t="s">
        <v>35</v>
      </c>
      <c r="U272" t="s">
        <v>29</v>
      </c>
      <c r="V272" s="1"/>
      <c r="W272" t="s">
        <v>36</v>
      </c>
      <c r="AB272" s="2">
        <f t="shared" si="60"/>
        <v>1</v>
      </c>
      <c r="AC272">
        <f t="shared" si="61"/>
        <v>0</v>
      </c>
      <c r="AD272">
        <f t="shared" si="62"/>
        <v>2</v>
      </c>
      <c r="AE272" t="str">
        <f t="shared" si="63"/>
        <v>OK</v>
      </c>
      <c r="AF272" t="str">
        <f t="shared" si="64"/>
        <v>OK</v>
      </c>
      <c r="AG272" t="str">
        <f t="shared" si="65"/>
        <v>OK</v>
      </c>
      <c r="AI272" t="str">
        <f t="shared" si="66"/>
        <v>ERROR</v>
      </c>
      <c r="AJ272" t="str">
        <f t="shared" si="67"/>
        <v>OK</v>
      </c>
      <c r="AK272" t="str">
        <f t="shared" si="68"/>
        <v>OK</v>
      </c>
      <c r="AL272" t="str">
        <f t="shared" si="69"/>
        <v>OK</v>
      </c>
      <c r="AM272" t="str">
        <f t="shared" si="70"/>
        <v>ERROR</v>
      </c>
      <c r="AN272" t="str">
        <f t="shared" si="71"/>
        <v>OK</v>
      </c>
      <c r="AO272" t="str">
        <f t="shared" si="72"/>
        <v>OK</v>
      </c>
      <c r="AP272" t="str">
        <f t="shared" si="73"/>
        <v>OK</v>
      </c>
      <c r="AQ272" t="str">
        <f t="shared" si="74"/>
        <v>OK</v>
      </c>
    </row>
    <row r="273" spans="1:43" x14ac:dyDescent="0.3">
      <c r="A273" t="s">
        <v>1183</v>
      </c>
      <c r="B273" s="1">
        <v>45638</v>
      </c>
      <c r="C273" t="s">
        <v>1184</v>
      </c>
      <c r="D273" t="s">
        <v>25</v>
      </c>
      <c r="E273" t="s">
        <v>1185</v>
      </c>
      <c r="F273" t="s">
        <v>54</v>
      </c>
      <c r="G273" t="s">
        <v>1186</v>
      </c>
      <c r="H273">
        <v>2399</v>
      </c>
      <c r="I273">
        <v>1</v>
      </c>
      <c r="J273">
        <v>2399</v>
      </c>
      <c r="K273" t="s">
        <v>29</v>
      </c>
      <c r="L273">
        <v>0</v>
      </c>
      <c r="M273" t="s">
        <v>30</v>
      </c>
      <c r="N273" t="s">
        <v>45</v>
      </c>
      <c r="O273" t="s">
        <v>195</v>
      </c>
      <c r="P273" t="s">
        <v>184</v>
      </c>
      <c r="Q273" t="s">
        <v>57</v>
      </c>
      <c r="R273" s="1">
        <v>45655</v>
      </c>
      <c r="S273" t="s">
        <v>34</v>
      </c>
      <c r="T273" t="s">
        <v>47</v>
      </c>
      <c r="U273" t="s">
        <v>105</v>
      </c>
      <c r="V273" s="1">
        <v>45683</v>
      </c>
      <c r="W273" t="s">
        <v>49</v>
      </c>
      <c r="AB273" s="2">
        <f t="shared" si="60"/>
        <v>1</v>
      </c>
      <c r="AC273">
        <f t="shared" si="61"/>
        <v>0</v>
      </c>
      <c r="AD273">
        <f t="shared" si="62"/>
        <v>2</v>
      </c>
      <c r="AE273" t="str">
        <f t="shared" si="63"/>
        <v>OK</v>
      </c>
      <c r="AF273" t="str">
        <f t="shared" si="64"/>
        <v>OK</v>
      </c>
      <c r="AG273" t="str">
        <f t="shared" si="65"/>
        <v>OK</v>
      </c>
      <c r="AI273" t="str">
        <f t="shared" si="66"/>
        <v>ERROR</v>
      </c>
      <c r="AJ273" t="str">
        <f t="shared" si="67"/>
        <v>OK</v>
      </c>
      <c r="AK273" t="str">
        <f t="shared" si="68"/>
        <v>OK</v>
      </c>
      <c r="AL273" t="str">
        <f t="shared" si="69"/>
        <v>OK</v>
      </c>
      <c r="AM273" t="str">
        <f t="shared" si="70"/>
        <v>OK</v>
      </c>
      <c r="AN273" t="str">
        <f t="shared" si="71"/>
        <v>OK</v>
      </c>
      <c r="AO273" t="str">
        <f t="shared" si="72"/>
        <v>OK</v>
      </c>
      <c r="AP273" t="str">
        <f t="shared" si="73"/>
        <v>OK</v>
      </c>
      <c r="AQ273" t="str">
        <f t="shared" si="74"/>
        <v>OK</v>
      </c>
    </row>
    <row r="274" spans="1:43" x14ac:dyDescent="0.3">
      <c r="A274" t="s">
        <v>1187</v>
      </c>
      <c r="B274" s="1">
        <v>45638</v>
      </c>
      <c r="C274" t="s">
        <v>1188</v>
      </c>
      <c r="D274" t="s">
        <v>39</v>
      </c>
      <c r="E274" t="s">
        <v>1189</v>
      </c>
      <c r="F274" t="s">
        <v>62</v>
      </c>
      <c r="G274" t="s">
        <v>1190</v>
      </c>
      <c r="H274">
        <v>6299</v>
      </c>
      <c r="I274">
        <v>1</v>
      </c>
      <c r="J274">
        <v>6299</v>
      </c>
      <c r="K274" t="s">
        <v>29</v>
      </c>
      <c r="L274">
        <v>0</v>
      </c>
      <c r="M274" t="s">
        <v>56</v>
      </c>
      <c r="N274" t="s">
        <v>66</v>
      </c>
      <c r="O274" t="s">
        <v>200</v>
      </c>
      <c r="P274" t="s">
        <v>58</v>
      </c>
      <c r="Q274" t="s">
        <v>57</v>
      </c>
      <c r="R274" s="1"/>
      <c r="S274" t="s">
        <v>121</v>
      </c>
      <c r="T274" t="s">
        <v>35</v>
      </c>
      <c r="U274" t="s">
        <v>29</v>
      </c>
      <c r="V274" s="1"/>
      <c r="W274" t="s">
        <v>36</v>
      </c>
      <c r="AB274" s="2">
        <f t="shared" si="60"/>
        <v>1</v>
      </c>
      <c r="AC274">
        <f t="shared" si="61"/>
        <v>0</v>
      </c>
      <c r="AD274">
        <f t="shared" si="62"/>
        <v>2</v>
      </c>
      <c r="AE274" t="str">
        <f t="shared" si="63"/>
        <v>OK</v>
      </c>
      <c r="AF274" t="str">
        <f t="shared" si="64"/>
        <v>OK</v>
      </c>
      <c r="AG274" t="str">
        <f t="shared" si="65"/>
        <v>OK</v>
      </c>
      <c r="AI274" t="str">
        <f t="shared" si="66"/>
        <v>ERROR</v>
      </c>
      <c r="AJ274" t="str">
        <f t="shared" si="67"/>
        <v>ERROR</v>
      </c>
      <c r="AK274" t="str">
        <f t="shared" si="68"/>
        <v>OK</v>
      </c>
      <c r="AL274" t="str">
        <f t="shared" si="69"/>
        <v>OK</v>
      </c>
      <c r="AM274" t="str">
        <f t="shared" si="70"/>
        <v>OK</v>
      </c>
      <c r="AN274" t="str">
        <f t="shared" si="71"/>
        <v>OK</v>
      </c>
      <c r="AO274" t="str">
        <f t="shared" si="72"/>
        <v>OK</v>
      </c>
      <c r="AP274" t="str">
        <f t="shared" si="73"/>
        <v>OK</v>
      </c>
      <c r="AQ274" t="str">
        <f t="shared" si="74"/>
        <v>OK</v>
      </c>
    </row>
    <row r="275" spans="1:43" x14ac:dyDescent="0.3">
      <c r="A275" t="s">
        <v>1191</v>
      </c>
      <c r="B275" s="1">
        <v>45639</v>
      </c>
      <c r="C275" t="s">
        <v>1192</v>
      </c>
      <c r="D275" t="s">
        <v>25</v>
      </c>
      <c r="E275" t="s">
        <v>1193</v>
      </c>
      <c r="F275" t="s">
        <v>72</v>
      </c>
      <c r="G275" t="s">
        <v>1194</v>
      </c>
      <c r="H275">
        <v>599</v>
      </c>
      <c r="I275">
        <v>2</v>
      </c>
      <c r="J275">
        <v>1198</v>
      </c>
      <c r="K275" t="s">
        <v>996</v>
      </c>
      <c r="L275">
        <v>20</v>
      </c>
      <c r="M275" t="s">
        <v>112</v>
      </c>
      <c r="N275" t="s">
        <v>31</v>
      </c>
      <c r="O275" t="s">
        <v>205</v>
      </c>
      <c r="P275" t="s">
        <v>98</v>
      </c>
      <c r="Q275" t="s">
        <v>32</v>
      </c>
      <c r="R275" s="1">
        <v>45655</v>
      </c>
      <c r="S275" t="s">
        <v>34</v>
      </c>
      <c r="T275" t="s">
        <v>35</v>
      </c>
      <c r="U275" t="s">
        <v>29</v>
      </c>
      <c r="V275" s="1"/>
      <c r="W275" t="s">
        <v>36</v>
      </c>
      <c r="AB275" s="2">
        <f t="shared" si="60"/>
        <v>1</v>
      </c>
      <c r="AC275">
        <f t="shared" si="61"/>
        <v>0</v>
      </c>
      <c r="AD275">
        <f t="shared" si="62"/>
        <v>2</v>
      </c>
      <c r="AE275" t="str">
        <f t="shared" si="63"/>
        <v>OK</v>
      </c>
      <c r="AF275" t="str">
        <f t="shared" si="64"/>
        <v>OK</v>
      </c>
      <c r="AG275" t="str">
        <f t="shared" si="65"/>
        <v>OK</v>
      </c>
      <c r="AI275" t="str">
        <f t="shared" si="66"/>
        <v>ERROR</v>
      </c>
      <c r="AJ275" t="str">
        <f t="shared" si="67"/>
        <v>OK</v>
      </c>
      <c r="AK275" t="str">
        <f t="shared" si="68"/>
        <v>OK</v>
      </c>
      <c r="AL275" t="str">
        <f t="shared" si="69"/>
        <v>OK</v>
      </c>
      <c r="AM275" t="str">
        <f t="shared" si="70"/>
        <v>ERROR</v>
      </c>
      <c r="AN275" t="str">
        <f t="shared" si="71"/>
        <v>OK</v>
      </c>
      <c r="AO275" t="str">
        <f t="shared" si="72"/>
        <v>OK</v>
      </c>
      <c r="AP275" t="str">
        <f t="shared" si="73"/>
        <v>OK</v>
      </c>
      <c r="AQ275" t="str">
        <f t="shared" si="74"/>
        <v>OK</v>
      </c>
    </row>
    <row r="276" spans="1:43" x14ac:dyDescent="0.3">
      <c r="A276" t="s">
        <v>1195</v>
      </c>
      <c r="B276" s="1">
        <v>45639</v>
      </c>
      <c r="C276" t="s">
        <v>1196</v>
      </c>
      <c r="D276" t="s">
        <v>25</v>
      </c>
      <c r="E276" t="s">
        <v>1197</v>
      </c>
      <c r="F276" t="s">
        <v>27</v>
      </c>
      <c r="G276" t="s">
        <v>1198</v>
      </c>
      <c r="H276">
        <v>2399</v>
      </c>
      <c r="I276">
        <v>1</v>
      </c>
      <c r="J276">
        <v>2399</v>
      </c>
      <c r="K276" t="s">
        <v>29</v>
      </c>
      <c r="L276">
        <v>0</v>
      </c>
      <c r="M276" t="s">
        <v>65</v>
      </c>
      <c r="N276" t="s">
        <v>45</v>
      </c>
      <c r="O276" t="s">
        <v>210</v>
      </c>
      <c r="P276" t="s">
        <v>98</v>
      </c>
      <c r="Q276" t="s">
        <v>32</v>
      </c>
      <c r="R276" s="1">
        <v>45656</v>
      </c>
      <c r="S276" t="s">
        <v>34</v>
      </c>
      <c r="T276" t="s">
        <v>47</v>
      </c>
      <c r="U276" t="s">
        <v>48</v>
      </c>
      <c r="V276" s="1">
        <v>45684</v>
      </c>
      <c r="W276" t="s">
        <v>49</v>
      </c>
      <c r="AB276" s="2">
        <f t="shared" si="60"/>
        <v>1</v>
      </c>
      <c r="AC276">
        <f t="shared" si="61"/>
        <v>0</v>
      </c>
      <c r="AD276">
        <f t="shared" si="62"/>
        <v>2</v>
      </c>
      <c r="AE276" t="str">
        <f t="shared" si="63"/>
        <v>OK</v>
      </c>
      <c r="AF276" t="str">
        <f t="shared" si="64"/>
        <v>OK</v>
      </c>
      <c r="AG276" t="str">
        <f t="shared" si="65"/>
        <v>OK</v>
      </c>
      <c r="AI276" t="str">
        <f t="shared" si="66"/>
        <v>ERROR</v>
      </c>
      <c r="AJ276" t="str">
        <f t="shared" si="67"/>
        <v>OK</v>
      </c>
      <c r="AK276" t="str">
        <f t="shared" si="68"/>
        <v>OK</v>
      </c>
      <c r="AL276" t="str">
        <f t="shared" si="69"/>
        <v>OK</v>
      </c>
      <c r="AM276" t="str">
        <f t="shared" si="70"/>
        <v>OK</v>
      </c>
      <c r="AN276" t="str">
        <f t="shared" si="71"/>
        <v>OK</v>
      </c>
      <c r="AO276" t="str">
        <f t="shared" si="72"/>
        <v>OK</v>
      </c>
      <c r="AP276" t="str">
        <f t="shared" si="73"/>
        <v>OK</v>
      </c>
      <c r="AQ276" t="str">
        <f t="shared" si="74"/>
        <v>OK</v>
      </c>
    </row>
    <row r="277" spans="1:43" x14ac:dyDescent="0.3">
      <c r="A277" t="s">
        <v>1199</v>
      </c>
      <c r="B277" s="1">
        <v>45639</v>
      </c>
      <c r="C277" t="s">
        <v>1200</v>
      </c>
      <c r="D277" t="s">
        <v>25</v>
      </c>
      <c r="E277" t="s">
        <v>1201</v>
      </c>
      <c r="F277" t="s">
        <v>41</v>
      </c>
      <c r="G277" t="s">
        <v>1202</v>
      </c>
      <c r="H277">
        <v>5999</v>
      </c>
      <c r="I277">
        <v>1</v>
      </c>
      <c r="J277">
        <v>5999</v>
      </c>
      <c r="K277" t="s">
        <v>29</v>
      </c>
      <c r="L277">
        <v>0</v>
      </c>
      <c r="M277" t="s">
        <v>44</v>
      </c>
      <c r="N277" t="s">
        <v>66</v>
      </c>
      <c r="O277" t="s">
        <v>215</v>
      </c>
      <c r="P277" t="s">
        <v>114</v>
      </c>
      <c r="Q277" t="s">
        <v>46</v>
      </c>
      <c r="R277" s="1">
        <v>45657</v>
      </c>
      <c r="S277" t="s">
        <v>34</v>
      </c>
      <c r="T277" t="s">
        <v>47</v>
      </c>
      <c r="U277" t="s">
        <v>139</v>
      </c>
      <c r="V277" s="1">
        <v>45685</v>
      </c>
      <c r="W277" t="s">
        <v>49</v>
      </c>
      <c r="AB277" s="2">
        <f t="shared" si="60"/>
        <v>1</v>
      </c>
      <c r="AC277">
        <f t="shared" si="61"/>
        <v>0</v>
      </c>
      <c r="AD277">
        <f t="shared" si="62"/>
        <v>2</v>
      </c>
      <c r="AE277" t="str">
        <f t="shared" si="63"/>
        <v>OK</v>
      </c>
      <c r="AF277" t="str">
        <f t="shared" si="64"/>
        <v>OK</v>
      </c>
      <c r="AG277" t="str">
        <f t="shared" si="65"/>
        <v>OK</v>
      </c>
      <c r="AI277" t="str">
        <f t="shared" si="66"/>
        <v>ERROR</v>
      </c>
      <c r="AJ277" t="str">
        <f t="shared" si="67"/>
        <v>OK</v>
      </c>
      <c r="AK277" t="str">
        <f t="shared" si="68"/>
        <v>OK</v>
      </c>
      <c r="AL277" t="str">
        <f t="shared" si="69"/>
        <v>OK</v>
      </c>
      <c r="AM277" t="str">
        <f t="shared" si="70"/>
        <v>OK</v>
      </c>
      <c r="AN277" t="str">
        <f t="shared" si="71"/>
        <v>OK</v>
      </c>
      <c r="AO277" t="str">
        <f t="shared" si="72"/>
        <v>OK</v>
      </c>
      <c r="AP277" t="str">
        <f t="shared" si="73"/>
        <v>OK</v>
      </c>
      <c r="AQ277" t="str">
        <f t="shared" si="74"/>
        <v>OK</v>
      </c>
    </row>
    <row r="278" spans="1:43" x14ac:dyDescent="0.3">
      <c r="A278" t="s">
        <v>1203</v>
      </c>
      <c r="B278" s="1">
        <v>45639</v>
      </c>
      <c r="C278" t="s">
        <v>1204</v>
      </c>
      <c r="D278" t="s">
        <v>25</v>
      </c>
      <c r="E278" t="s">
        <v>1205</v>
      </c>
      <c r="F278" t="s">
        <v>54</v>
      </c>
      <c r="G278" t="s">
        <v>1206</v>
      </c>
      <c r="H278">
        <v>1899</v>
      </c>
      <c r="I278">
        <v>1</v>
      </c>
      <c r="J278">
        <v>1899</v>
      </c>
      <c r="K278" t="s">
        <v>996</v>
      </c>
      <c r="L278">
        <v>20</v>
      </c>
      <c r="M278" t="s">
        <v>30</v>
      </c>
      <c r="N278" t="s">
        <v>31</v>
      </c>
      <c r="O278" t="s">
        <v>32</v>
      </c>
      <c r="P278" t="s">
        <v>33</v>
      </c>
      <c r="Q278" t="s">
        <v>32</v>
      </c>
      <c r="R278" s="1">
        <v>45656</v>
      </c>
      <c r="S278" t="s">
        <v>34</v>
      </c>
      <c r="T278" t="s">
        <v>35</v>
      </c>
      <c r="U278" t="s">
        <v>29</v>
      </c>
      <c r="V278" s="1"/>
      <c r="W278" t="s">
        <v>36</v>
      </c>
      <c r="AB278" s="2">
        <f t="shared" si="60"/>
        <v>1</v>
      </c>
      <c r="AC278">
        <f t="shared" si="61"/>
        <v>0</v>
      </c>
      <c r="AD278">
        <f t="shared" si="62"/>
        <v>2</v>
      </c>
      <c r="AE278" t="str">
        <f t="shared" si="63"/>
        <v>OK</v>
      </c>
      <c r="AF278" t="str">
        <f t="shared" si="64"/>
        <v>OK</v>
      </c>
      <c r="AG278" t="str">
        <f t="shared" si="65"/>
        <v>OK</v>
      </c>
      <c r="AI278" t="str">
        <f t="shared" si="66"/>
        <v>ERROR</v>
      </c>
      <c r="AJ278" t="str">
        <f t="shared" si="67"/>
        <v>OK</v>
      </c>
      <c r="AK278" t="str">
        <f t="shared" si="68"/>
        <v>OK</v>
      </c>
      <c r="AL278" t="str">
        <f t="shared" si="69"/>
        <v>OK</v>
      </c>
      <c r="AM278" t="str">
        <f t="shared" si="70"/>
        <v>ERROR</v>
      </c>
      <c r="AN278" t="str">
        <f t="shared" si="71"/>
        <v>OK</v>
      </c>
      <c r="AO278" t="str">
        <f t="shared" si="72"/>
        <v>OK</v>
      </c>
      <c r="AP278" t="str">
        <f t="shared" si="73"/>
        <v>OK</v>
      </c>
      <c r="AQ278" t="str">
        <f t="shared" si="74"/>
        <v>OK</v>
      </c>
    </row>
    <row r="279" spans="1:43" x14ac:dyDescent="0.3">
      <c r="A279" t="s">
        <v>1207</v>
      </c>
      <c r="B279" s="1">
        <v>45640</v>
      </c>
      <c r="C279" t="s">
        <v>1208</v>
      </c>
      <c r="D279" t="s">
        <v>39</v>
      </c>
      <c r="E279" t="s">
        <v>1209</v>
      </c>
      <c r="F279" t="s">
        <v>62</v>
      </c>
      <c r="G279" t="s">
        <v>1210</v>
      </c>
      <c r="H279">
        <v>4999</v>
      </c>
      <c r="I279">
        <v>1</v>
      </c>
      <c r="J279">
        <v>4999</v>
      </c>
      <c r="K279" t="s">
        <v>29</v>
      </c>
      <c r="L279">
        <v>0</v>
      </c>
      <c r="M279" t="s">
        <v>56</v>
      </c>
      <c r="N279" t="s">
        <v>45</v>
      </c>
      <c r="O279" t="s">
        <v>46</v>
      </c>
      <c r="P279" t="s">
        <v>46</v>
      </c>
      <c r="Q279" t="s">
        <v>46</v>
      </c>
      <c r="R279" s="1">
        <v>45657</v>
      </c>
      <c r="S279" t="s">
        <v>34</v>
      </c>
      <c r="T279" t="s">
        <v>47</v>
      </c>
      <c r="U279" t="s">
        <v>80</v>
      </c>
      <c r="V279" s="1">
        <v>45686</v>
      </c>
      <c r="W279" t="s">
        <v>49</v>
      </c>
      <c r="AB279" s="2">
        <f t="shared" si="60"/>
        <v>1</v>
      </c>
      <c r="AC279">
        <f t="shared" si="61"/>
        <v>0</v>
      </c>
      <c r="AD279">
        <f t="shared" si="62"/>
        <v>2</v>
      </c>
      <c r="AE279" t="str">
        <f t="shared" si="63"/>
        <v>OK</v>
      </c>
      <c r="AF279" t="str">
        <f t="shared" si="64"/>
        <v>OK</v>
      </c>
      <c r="AG279" t="str">
        <f t="shared" si="65"/>
        <v>OK</v>
      </c>
      <c r="AI279" t="str">
        <f t="shared" si="66"/>
        <v>ERROR</v>
      </c>
      <c r="AJ279" t="str">
        <f t="shared" si="67"/>
        <v>OK</v>
      </c>
      <c r="AK279" t="str">
        <f t="shared" si="68"/>
        <v>OK</v>
      </c>
      <c r="AL279" t="str">
        <f t="shared" si="69"/>
        <v>OK</v>
      </c>
      <c r="AM279" t="str">
        <f t="shared" si="70"/>
        <v>OK</v>
      </c>
      <c r="AN279" t="str">
        <f t="shared" si="71"/>
        <v>OK</v>
      </c>
      <c r="AO279" t="str">
        <f t="shared" si="72"/>
        <v>OK</v>
      </c>
      <c r="AP279" t="str">
        <f t="shared" si="73"/>
        <v>OK</v>
      </c>
      <c r="AQ279" t="str">
        <f t="shared" si="74"/>
        <v>OK</v>
      </c>
    </row>
    <row r="280" spans="1:43" x14ac:dyDescent="0.3">
      <c r="A280" t="s">
        <v>1211</v>
      </c>
      <c r="B280" s="1">
        <v>45640</v>
      </c>
      <c r="C280" t="s">
        <v>1212</v>
      </c>
      <c r="D280" t="s">
        <v>25</v>
      </c>
      <c r="E280" t="s">
        <v>1213</v>
      </c>
      <c r="F280" t="s">
        <v>72</v>
      </c>
      <c r="G280" t="s">
        <v>1214</v>
      </c>
      <c r="H280">
        <v>1699</v>
      </c>
      <c r="I280">
        <v>1</v>
      </c>
      <c r="J280">
        <v>1699</v>
      </c>
      <c r="K280" t="s">
        <v>29</v>
      </c>
      <c r="L280">
        <v>0</v>
      </c>
      <c r="M280" t="s">
        <v>112</v>
      </c>
      <c r="N280" t="s">
        <v>66</v>
      </c>
      <c r="O280" t="s">
        <v>91</v>
      </c>
      <c r="P280" t="s">
        <v>92</v>
      </c>
      <c r="Q280" t="s">
        <v>46</v>
      </c>
      <c r="R280" s="1">
        <v>45656</v>
      </c>
      <c r="S280" t="s">
        <v>34</v>
      </c>
      <c r="T280" t="s">
        <v>47</v>
      </c>
      <c r="U280" t="s">
        <v>69</v>
      </c>
      <c r="V280" s="1">
        <v>45683</v>
      </c>
      <c r="W280" t="s">
        <v>49</v>
      </c>
      <c r="AB280" s="2">
        <f t="shared" si="60"/>
        <v>1</v>
      </c>
      <c r="AC280">
        <f t="shared" si="61"/>
        <v>0</v>
      </c>
      <c r="AD280">
        <f t="shared" si="62"/>
        <v>2</v>
      </c>
      <c r="AE280" t="str">
        <f t="shared" si="63"/>
        <v>OK</v>
      </c>
      <c r="AF280" t="str">
        <f t="shared" si="64"/>
        <v>OK</v>
      </c>
      <c r="AG280" t="str">
        <f t="shared" si="65"/>
        <v>OK</v>
      </c>
      <c r="AI280" t="str">
        <f t="shared" si="66"/>
        <v>ERROR</v>
      </c>
      <c r="AJ280" t="str">
        <f t="shared" si="67"/>
        <v>OK</v>
      </c>
      <c r="AK280" t="str">
        <f t="shared" si="68"/>
        <v>OK</v>
      </c>
      <c r="AL280" t="str">
        <f t="shared" si="69"/>
        <v>OK</v>
      </c>
      <c r="AM280" t="str">
        <f t="shared" si="70"/>
        <v>OK</v>
      </c>
      <c r="AN280" t="str">
        <f t="shared" si="71"/>
        <v>OK</v>
      </c>
      <c r="AO280" t="str">
        <f t="shared" si="72"/>
        <v>OK</v>
      </c>
      <c r="AP280" t="str">
        <f t="shared" si="73"/>
        <v>OK</v>
      </c>
      <c r="AQ280" t="str">
        <f t="shared" si="74"/>
        <v>OK</v>
      </c>
    </row>
    <row r="281" spans="1:43" x14ac:dyDescent="0.3">
      <c r="A281" t="s">
        <v>1215</v>
      </c>
      <c r="B281" s="1">
        <v>45640</v>
      </c>
      <c r="C281" t="s">
        <v>1216</v>
      </c>
      <c r="D281" t="s">
        <v>25</v>
      </c>
      <c r="E281" t="s">
        <v>1217</v>
      </c>
      <c r="F281" t="s">
        <v>27</v>
      </c>
      <c r="G281" t="s">
        <v>1218</v>
      </c>
      <c r="H281">
        <v>2099</v>
      </c>
      <c r="I281">
        <v>1</v>
      </c>
      <c r="J281">
        <v>2099</v>
      </c>
      <c r="K281" t="s">
        <v>996</v>
      </c>
      <c r="L281">
        <v>20</v>
      </c>
      <c r="M281" t="s">
        <v>65</v>
      </c>
      <c r="N281" t="s">
        <v>31</v>
      </c>
      <c r="O281" t="s">
        <v>67</v>
      </c>
      <c r="P281" t="s">
        <v>68</v>
      </c>
      <c r="Q281" t="s">
        <v>57</v>
      </c>
      <c r="R281" s="1">
        <v>45657</v>
      </c>
      <c r="S281" t="s">
        <v>34</v>
      </c>
      <c r="T281" t="s">
        <v>35</v>
      </c>
      <c r="U281" t="s">
        <v>29</v>
      </c>
      <c r="V281" s="1"/>
      <c r="W281" t="s">
        <v>36</v>
      </c>
      <c r="AB281" s="2">
        <f t="shared" si="60"/>
        <v>1</v>
      </c>
      <c r="AC281">
        <f t="shared" si="61"/>
        <v>0</v>
      </c>
      <c r="AD281">
        <f t="shared" si="62"/>
        <v>2</v>
      </c>
      <c r="AE281" t="str">
        <f t="shared" si="63"/>
        <v>OK</v>
      </c>
      <c r="AF281" t="str">
        <f t="shared" si="64"/>
        <v>OK</v>
      </c>
      <c r="AG281" t="str">
        <f t="shared" si="65"/>
        <v>OK</v>
      </c>
      <c r="AI281" t="str">
        <f t="shared" si="66"/>
        <v>ERROR</v>
      </c>
      <c r="AJ281" t="str">
        <f t="shared" si="67"/>
        <v>OK</v>
      </c>
      <c r="AK281" t="str">
        <f t="shared" si="68"/>
        <v>OK</v>
      </c>
      <c r="AL281" t="str">
        <f t="shared" si="69"/>
        <v>OK</v>
      </c>
      <c r="AM281" t="str">
        <f t="shared" si="70"/>
        <v>ERROR</v>
      </c>
      <c r="AN281" t="str">
        <f t="shared" si="71"/>
        <v>OK</v>
      </c>
      <c r="AO281" t="str">
        <f t="shared" si="72"/>
        <v>OK</v>
      </c>
      <c r="AP281" t="str">
        <f t="shared" si="73"/>
        <v>OK</v>
      </c>
      <c r="AQ281" t="str">
        <f t="shared" si="74"/>
        <v>OK</v>
      </c>
    </row>
    <row r="282" spans="1:43" x14ac:dyDescent="0.3">
      <c r="A282" t="s">
        <v>1219</v>
      </c>
      <c r="B282" s="1">
        <v>45640</v>
      </c>
      <c r="C282" t="s">
        <v>1220</v>
      </c>
      <c r="D282" t="s">
        <v>25</v>
      </c>
      <c r="E282" t="s">
        <v>218</v>
      </c>
      <c r="F282" t="s">
        <v>41</v>
      </c>
      <c r="G282" t="s">
        <v>1221</v>
      </c>
      <c r="H282">
        <v>4599</v>
      </c>
      <c r="I282">
        <v>1</v>
      </c>
      <c r="J282">
        <v>4599</v>
      </c>
      <c r="K282" t="s">
        <v>29</v>
      </c>
      <c r="L282">
        <v>0</v>
      </c>
      <c r="M282" t="s">
        <v>44</v>
      </c>
      <c r="N282" t="s">
        <v>45</v>
      </c>
      <c r="O282" t="s">
        <v>78</v>
      </c>
      <c r="P282" t="s">
        <v>79</v>
      </c>
      <c r="Q282" t="s">
        <v>57</v>
      </c>
      <c r="R282" s="1">
        <v>45659</v>
      </c>
      <c r="S282" t="s">
        <v>34</v>
      </c>
      <c r="T282" t="s">
        <v>47</v>
      </c>
      <c r="U282" t="s">
        <v>48</v>
      </c>
      <c r="V282" s="1">
        <v>45687</v>
      </c>
      <c r="W282" t="s">
        <v>49</v>
      </c>
      <c r="AB282" s="2">
        <f t="shared" si="60"/>
        <v>1</v>
      </c>
      <c r="AC282">
        <f t="shared" si="61"/>
        <v>0</v>
      </c>
      <c r="AD282">
        <f t="shared" si="62"/>
        <v>2</v>
      </c>
      <c r="AE282" t="str">
        <f t="shared" si="63"/>
        <v>OK</v>
      </c>
      <c r="AF282" t="str">
        <f t="shared" si="64"/>
        <v>OK</v>
      </c>
      <c r="AG282" t="str">
        <f t="shared" si="65"/>
        <v>OK</v>
      </c>
      <c r="AI282" t="str">
        <f t="shared" si="66"/>
        <v>ERROR</v>
      </c>
      <c r="AJ282" t="str">
        <f t="shared" si="67"/>
        <v>OK</v>
      </c>
      <c r="AK282" t="str">
        <f t="shared" si="68"/>
        <v>OK</v>
      </c>
      <c r="AL282" t="str">
        <f t="shared" si="69"/>
        <v>OK</v>
      </c>
      <c r="AM282" t="str">
        <f t="shared" si="70"/>
        <v>OK</v>
      </c>
      <c r="AN282" t="str">
        <f t="shared" si="71"/>
        <v>OK</v>
      </c>
      <c r="AO282" t="str">
        <f t="shared" si="72"/>
        <v>OK</v>
      </c>
      <c r="AP282" t="str">
        <f t="shared" si="73"/>
        <v>OK</v>
      </c>
      <c r="AQ282" t="str">
        <f t="shared" si="74"/>
        <v>OK</v>
      </c>
    </row>
    <row r="283" spans="1:43" x14ac:dyDescent="0.3">
      <c r="A283" t="s">
        <v>1222</v>
      </c>
      <c r="B283" s="1">
        <v>45641</v>
      </c>
      <c r="C283" t="s">
        <v>1223</v>
      </c>
      <c r="D283" t="s">
        <v>25</v>
      </c>
      <c r="E283" t="s">
        <v>1224</v>
      </c>
      <c r="F283" t="s">
        <v>54</v>
      </c>
      <c r="G283" t="s">
        <v>1225</v>
      </c>
      <c r="H283">
        <v>2299</v>
      </c>
      <c r="I283">
        <v>1</v>
      </c>
      <c r="J283">
        <v>2299</v>
      </c>
      <c r="K283" t="s">
        <v>29</v>
      </c>
      <c r="L283">
        <v>0</v>
      </c>
      <c r="M283" t="s">
        <v>30</v>
      </c>
      <c r="N283" t="s">
        <v>66</v>
      </c>
      <c r="O283" t="s">
        <v>85</v>
      </c>
      <c r="P283" t="s">
        <v>33</v>
      </c>
      <c r="Q283" t="s">
        <v>32</v>
      </c>
      <c r="R283" s="1">
        <v>45659</v>
      </c>
      <c r="S283" t="s">
        <v>34</v>
      </c>
      <c r="T283" t="s">
        <v>35</v>
      </c>
      <c r="U283" t="s">
        <v>29</v>
      </c>
      <c r="V283" s="1"/>
      <c r="W283" t="s">
        <v>36</v>
      </c>
      <c r="AB283" s="2">
        <f t="shared" si="60"/>
        <v>1</v>
      </c>
      <c r="AC283">
        <f t="shared" si="61"/>
        <v>0</v>
      </c>
      <c r="AD283">
        <f t="shared" si="62"/>
        <v>2</v>
      </c>
      <c r="AE283" t="str">
        <f t="shared" si="63"/>
        <v>OK</v>
      </c>
      <c r="AF283" t="str">
        <f t="shared" si="64"/>
        <v>OK</v>
      </c>
      <c r="AG283" t="str">
        <f t="shared" si="65"/>
        <v>OK</v>
      </c>
      <c r="AI283" t="str">
        <f t="shared" si="66"/>
        <v>ERROR</v>
      </c>
      <c r="AJ283" t="str">
        <f t="shared" si="67"/>
        <v>OK</v>
      </c>
      <c r="AK283" t="str">
        <f t="shared" si="68"/>
        <v>OK</v>
      </c>
      <c r="AL283" t="str">
        <f t="shared" si="69"/>
        <v>OK</v>
      </c>
      <c r="AM283" t="str">
        <f t="shared" si="70"/>
        <v>ERROR</v>
      </c>
      <c r="AN283" t="str">
        <f t="shared" si="71"/>
        <v>OK</v>
      </c>
      <c r="AO283" t="str">
        <f t="shared" si="72"/>
        <v>OK</v>
      </c>
      <c r="AP283" t="str">
        <f t="shared" si="73"/>
        <v>OK</v>
      </c>
      <c r="AQ283" t="str">
        <f t="shared" si="74"/>
        <v>OK</v>
      </c>
    </row>
    <row r="284" spans="1:43" x14ac:dyDescent="0.3">
      <c r="A284" t="s">
        <v>1226</v>
      </c>
      <c r="B284" s="1">
        <v>45641</v>
      </c>
      <c r="C284" t="s">
        <v>1227</v>
      </c>
      <c r="D284" t="s">
        <v>39</v>
      </c>
      <c r="E284" t="s">
        <v>1228</v>
      </c>
      <c r="F284" t="s">
        <v>62</v>
      </c>
      <c r="G284" t="s">
        <v>1229</v>
      </c>
      <c r="H284">
        <v>5799</v>
      </c>
      <c r="I284">
        <v>1</v>
      </c>
      <c r="J284">
        <v>5799</v>
      </c>
      <c r="K284" t="s">
        <v>996</v>
      </c>
      <c r="L284">
        <v>20</v>
      </c>
      <c r="M284" t="s">
        <v>56</v>
      </c>
      <c r="N284" t="s">
        <v>31</v>
      </c>
      <c r="O284" t="s">
        <v>97</v>
      </c>
      <c r="P284" t="s">
        <v>98</v>
      </c>
      <c r="Q284" t="s">
        <v>32</v>
      </c>
      <c r="R284" s="1">
        <v>45660</v>
      </c>
      <c r="S284" t="s">
        <v>34</v>
      </c>
      <c r="T284" t="s">
        <v>47</v>
      </c>
      <c r="U284" t="s">
        <v>105</v>
      </c>
      <c r="V284" s="1">
        <v>45688</v>
      </c>
      <c r="W284" t="s">
        <v>49</v>
      </c>
      <c r="AB284" s="2">
        <f t="shared" si="60"/>
        <v>1</v>
      </c>
      <c r="AC284">
        <f t="shared" si="61"/>
        <v>0</v>
      </c>
      <c r="AD284">
        <f t="shared" si="62"/>
        <v>2</v>
      </c>
      <c r="AE284" t="str">
        <f t="shared" si="63"/>
        <v>OK</v>
      </c>
      <c r="AF284" t="str">
        <f t="shared" si="64"/>
        <v>OK</v>
      </c>
      <c r="AG284" t="str">
        <f t="shared" si="65"/>
        <v>OK</v>
      </c>
      <c r="AI284" t="str">
        <f t="shared" si="66"/>
        <v>ERROR</v>
      </c>
      <c r="AJ284" t="str">
        <f t="shared" si="67"/>
        <v>OK</v>
      </c>
      <c r="AK284" t="str">
        <f t="shared" si="68"/>
        <v>OK</v>
      </c>
      <c r="AL284" t="str">
        <f t="shared" si="69"/>
        <v>OK</v>
      </c>
      <c r="AM284" t="str">
        <f t="shared" si="70"/>
        <v>OK</v>
      </c>
      <c r="AN284" t="str">
        <f t="shared" si="71"/>
        <v>OK</v>
      </c>
      <c r="AO284" t="str">
        <f t="shared" si="72"/>
        <v>OK</v>
      </c>
      <c r="AP284" t="str">
        <f t="shared" si="73"/>
        <v>OK</v>
      </c>
      <c r="AQ284" t="str">
        <f t="shared" si="74"/>
        <v>OK</v>
      </c>
    </row>
    <row r="285" spans="1:43" x14ac:dyDescent="0.3">
      <c r="A285" t="s">
        <v>1230</v>
      </c>
      <c r="B285" s="1">
        <v>45641</v>
      </c>
      <c r="C285" t="s">
        <v>1231</v>
      </c>
      <c r="D285" t="s">
        <v>25</v>
      </c>
      <c r="E285" t="s">
        <v>1232</v>
      </c>
      <c r="F285" t="s">
        <v>72</v>
      </c>
      <c r="G285" t="s">
        <v>1233</v>
      </c>
      <c r="H285">
        <v>799</v>
      </c>
      <c r="I285">
        <v>2</v>
      </c>
      <c r="J285">
        <v>1598</v>
      </c>
      <c r="K285" t="s">
        <v>29</v>
      </c>
      <c r="L285">
        <v>0</v>
      </c>
      <c r="M285" t="s">
        <v>112</v>
      </c>
      <c r="N285" t="s">
        <v>45</v>
      </c>
      <c r="O285" t="s">
        <v>103</v>
      </c>
      <c r="P285" t="s">
        <v>104</v>
      </c>
      <c r="Q285" t="s">
        <v>46</v>
      </c>
      <c r="R285" s="1">
        <v>45659</v>
      </c>
      <c r="S285" t="s">
        <v>34</v>
      </c>
      <c r="T285" t="s">
        <v>35</v>
      </c>
      <c r="U285" t="s">
        <v>29</v>
      </c>
      <c r="V285" s="1"/>
      <c r="W285" t="s">
        <v>36</v>
      </c>
      <c r="AB285" s="2">
        <f t="shared" si="60"/>
        <v>1</v>
      </c>
      <c r="AC285">
        <f t="shared" si="61"/>
        <v>0</v>
      </c>
      <c r="AD285">
        <f t="shared" si="62"/>
        <v>2</v>
      </c>
      <c r="AE285" t="str">
        <f t="shared" si="63"/>
        <v>OK</v>
      </c>
      <c r="AF285" t="str">
        <f t="shared" si="64"/>
        <v>OK</v>
      </c>
      <c r="AG285" t="str">
        <f t="shared" si="65"/>
        <v>OK</v>
      </c>
      <c r="AI285" t="str">
        <f t="shared" si="66"/>
        <v>ERROR</v>
      </c>
      <c r="AJ285" t="str">
        <f t="shared" si="67"/>
        <v>OK</v>
      </c>
      <c r="AK285" t="str">
        <f t="shared" si="68"/>
        <v>OK</v>
      </c>
      <c r="AL285" t="str">
        <f t="shared" si="69"/>
        <v>OK</v>
      </c>
      <c r="AM285" t="str">
        <f t="shared" si="70"/>
        <v>ERROR</v>
      </c>
      <c r="AN285" t="str">
        <f t="shared" si="71"/>
        <v>OK</v>
      </c>
      <c r="AO285" t="str">
        <f t="shared" si="72"/>
        <v>OK</v>
      </c>
      <c r="AP285" t="str">
        <f t="shared" si="73"/>
        <v>OK</v>
      </c>
      <c r="AQ285" t="str">
        <f t="shared" si="74"/>
        <v>OK</v>
      </c>
    </row>
    <row r="286" spans="1:43" x14ac:dyDescent="0.3">
      <c r="A286" t="s">
        <v>1234</v>
      </c>
      <c r="B286" s="1">
        <v>45641</v>
      </c>
      <c r="C286" t="s">
        <v>1235</v>
      </c>
      <c r="D286" t="s">
        <v>25</v>
      </c>
      <c r="E286" t="s">
        <v>1236</v>
      </c>
      <c r="F286" t="s">
        <v>27</v>
      </c>
      <c r="G286" t="s">
        <v>1237</v>
      </c>
      <c r="H286">
        <v>1999</v>
      </c>
      <c r="I286">
        <v>1</v>
      </c>
      <c r="J286">
        <v>1999</v>
      </c>
      <c r="K286" t="s">
        <v>29</v>
      </c>
      <c r="L286">
        <v>0</v>
      </c>
      <c r="M286" t="s">
        <v>65</v>
      </c>
      <c r="N286" t="s">
        <v>66</v>
      </c>
      <c r="O286" t="s">
        <v>113</v>
      </c>
      <c r="P286" t="s">
        <v>114</v>
      </c>
      <c r="Q286" t="s">
        <v>46</v>
      </c>
      <c r="R286" s="1">
        <v>45660</v>
      </c>
      <c r="S286" t="s">
        <v>34</v>
      </c>
      <c r="T286" t="s">
        <v>47</v>
      </c>
      <c r="U286" t="s">
        <v>139</v>
      </c>
      <c r="V286" s="1">
        <v>45687</v>
      </c>
      <c r="W286" t="s">
        <v>49</v>
      </c>
      <c r="AB286" s="2">
        <f t="shared" si="60"/>
        <v>1</v>
      </c>
      <c r="AC286">
        <f t="shared" si="61"/>
        <v>0</v>
      </c>
      <c r="AD286">
        <f t="shared" si="62"/>
        <v>2</v>
      </c>
      <c r="AE286" t="str">
        <f t="shared" si="63"/>
        <v>OK</v>
      </c>
      <c r="AF286" t="str">
        <f t="shared" si="64"/>
        <v>OK</v>
      </c>
      <c r="AG286" t="str">
        <f t="shared" si="65"/>
        <v>OK</v>
      </c>
      <c r="AI286" t="str">
        <f t="shared" si="66"/>
        <v>ERROR</v>
      </c>
      <c r="AJ286" t="str">
        <f t="shared" si="67"/>
        <v>OK</v>
      </c>
      <c r="AK286" t="str">
        <f t="shared" si="68"/>
        <v>OK</v>
      </c>
      <c r="AL286" t="str">
        <f t="shared" si="69"/>
        <v>OK</v>
      </c>
      <c r="AM286" t="str">
        <f t="shared" si="70"/>
        <v>OK</v>
      </c>
      <c r="AN286" t="str">
        <f t="shared" si="71"/>
        <v>OK</v>
      </c>
      <c r="AO286" t="str">
        <f t="shared" si="72"/>
        <v>OK</v>
      </c>
      <c r="AP286" t="str">
        <f t="shared" si="73"/>
        <v>OK</v>
      </c>
      <c r="AQ286" t="str">
        <f t="shared" si="74"/>
        <v>OK</v>
      </c>
    </row>
    <row r="287" spans="1:43" x14ac:dyDescent="0.3">
      <c r="A287" t="s">
        <v>1238</v>
      </c>
      <c r="B287" s="1">
        <v>45642</v>
      </c>
      <c r="C287" t="s">
        <v>1239</v>
      </c>
      <c r="D287" t="s">
        <v>25</v>
      </c>
      <c r="E287" t="s">
        <v>1240</v>
      </c>
      <c r="F287" t="s">
        <v>41</v>
      </c>
      <c r="G287" t="s">
        <v>1241</v>
      </c>
      <c r="H287">
        <v>3899</v>
      </c>
      <c r="I287">
        <v>1</v>
      </c>
      <c r="J287">
        <v>3899</v>
      </c>
      <c r="K287" t="s">
        <v>996</v>
      </c>
      <c r="L287">
        <v>20</v>
      </c>
      <c r="M287" t="s">
        <v>44</v>
      </c>
      <c r="N287" t="s">
        <v>31</v>
      </c>
      <c r="O287" t="s">
        <v>57</v>
      </c>
      <c r="P287" t="s">
        <v>58</v>
      </c>
      <c r="Q287" t="s">
        <v>57</v>
      </c>
      <c r="R287" s="1">
        <v>45661</v>
      </c>
      <c r="S287" t="s">
        <v>34</v>
      </c>
      <c r="T287" t="s">
        <v>47</v>
      </c>
      <c r="U287" t="s">
        <v>48</v>
      </c>
      <c r="V287" s="1">
        <v>45689</v>
      </c>
      <c r="W287" t="s">
        <v>49</v>
      </c>
      <c r="AB287" s="2">
        <f t="shared" si="60"/>
        <v>1</v>
      </c>
      <c r="AC287">
        <f t="shared" si="61"/>
        <v>0</v>
      </c>
      <c r="AD287">
        <f t="shared" si="62"/>
        <v>2</v>
      </c>
      <c r="AE287" t="str">
        <f t="shared" si="63"/>
        <v>OK</v>
      </c>
      <c r="AF287" t="str">
        <f t="shared" si="64"/>
        <v>OK</v>
      </c>
      <c r="AG287" t="str">
        <f t="shared" si="65"/>
        <v>OK</v>
      </c>
      <c r="AI287" t="str">
        <f t="shared" si="66"/>
        <v>ERROR</v>
      </c>
      <c r="AJ287" t="str">
        <f t="shared" si="67"/>
        <v>OK</v>
      </c>
      <c r="AK287" t="str">
        <f t="shared" si="68"/>
        <v>OK</v>
      </c>
      <c r="AL287" t="str">
        <f t="shared" si="69"/>
        <v>OK</v>
      </c>
      <c r="AM287" t="str">
        <f t="shared" si="70"/>
        <v>OK</v>
      </c>
      <c r="AN287" t="str">
        <f t="shared" si="71"/>
        <v>OK</v>
      </c>
      <c r="AO287" t="str">
        <f t="shared" si="72"/>
        <v>OK</v>
      </c>
      <c r="AP287" t="str">
        <f t="shared" si="73"/>
        <v>OK</v>
      </c>
      <c r="AQ287" t="str">
        <f t="shared" si="74"/>
        <v>OK</v>
      </c>
    </row>
    <row r="288" spans="1:43" x14ac:dyDescent="0.3">
      <c r="A288" t="s">
        <v>1242</v>
      </c>
      <c r="B288" s="1">
        <v>45642</v>
      </c>
      <c r="C288" t="s">
        <v>1243</v>
      </c>
      <c r="D288" t="s">
        <v>25</v>
      </c>
      <c r="E288" t="s">
        <v>1244</v>
      </c>
      <c r="F288" t="s">
        <v>54</v>
      </c>
      <c r="G288" t="s">
        <v>1245</v>
      </c>
      <c r="H288">
        <v>2599</v>
      </c>
      <c r="I288">
        <v>1</v>
      </c>
      <c r="J288">
        <v>2599</v>
      </c>
      <c r="K288" t="s">
        <v>29</v>
      </c>
      <c r="L288">
        <v>0</v>
      </c>
      <c r="M288" t="s">
        <v>30</v>
      </c>
      <c r="N288" t="s">
        <v>45</v>
      </c>
      <c r="O288" t="s">
        <v>32</v>
      </c>
      <c r="P288" t="s">
        <v>33</v>
      </c>
      <c r="Q288" t="s">
        <v>32</v>
      </c>
      <c r="R288" s="1">
        <v>45661</v>
      </c>
      <c r="S288" t="s">
        <v>34</v>
      </c>
      <c r="T288" t="s">
        <v>35</v>
      </c>
      <c r="U288" t="s">
        <v>29</v>
      </c>
      <c r="V288" s="1"/>
      <c r="W288" t="s">
        <v>36</v>
      </c>
      <c r="AB288" s="2">
        <f t="shared" si="60"/>
        <v>1</v>
      </c>
      <c r="AC288">
        <f t="shared" si="61"/>
        <v>0</v>
      </c>
      <c r="AD288">
        <f t="shared" si="62"/>
        <v>2</v>
      </c>
      <c r="AE288" t="str">
        <f t="shared" si="63"/>
        <v>OK</v>
      </c>
      <c r="AF288" t="str">
        <f t="shared" si="64"/>
        <v>OK</v>
      </c>
      <c r="AG288" t="str">
        <f t="shared" si="65"/>
        <v>OK</v>
      </c>
      <c r="AI288" t="str">
        <f t="shared" si="66"/>
        <v>ERROR</v>
      </c>
      <c r="AJ288" t="str">
        <f t="shared" si="67"/>
        <v>OK</v>
      </c>
      <c r="AK288" t="str">
        <f t="shared" si="68"/>
        <v>OK</v>
      </c>
      <c r="AL288" t="str">
        <f t="shared" si="69"/>
        <v>OK</v>
      </c>
      <c r="AM288" t="str">
        <f t="shared" si="70"/>
        <v>ERROR</v>
      </c>
      <c r="AN288" t="str">
        <f t="shared" si="71"/>
        <v>OK</v>
      </c>
      <c r="AO288" t="str">
        <f t="shared" si="72"/>
        <v>OK</v>
      </c>
      <c r="AP288" t="str">
        <f t="shared" si="73"/>
        <v>OK</v>
      </c>
      <c r="AQ288" t="str">
        <f t="shared" si="74"/>
        <v>OK</v>
      </c>
    </row>
    <row r="289" spans="1:43" x14ac:dyDescent="0.3">
      <c r="A289" t="s">
        <v>1246</v>
      </c>
      <c r="B289" s="1">
        <v>45642</v>
      </c>
      <c r="C289" t="s">
        <v>1247</v>
      </c>
      <c r="D289" t="s">
        <v>25</v>
      </c>
      <c r="E289" t="s">
        <v>1248</v>
      </c>
      <c r="F289" t="s">
        <v>62</v>
      </c>
      <c r="G289" t="s">
        <v>1249</v>
      </c>
      <c r="H289">
        <v>5299</v>
      </c>
      <c r="I289">
        <v>1</v>
      </c>
      <c r="J289">
        <v>5299</v>
      </c>
      <c r="K289" t="s">
        <v>29</v>
      </c>
      <c r="L289">
        <v>0</v>
      </c>
      <c r="M289" t="s">
        <v>56</v>
      </c>
      <c r="N289" t="s">
        <v>66</v>
      </c>
      <c r="O289" t="s">
        <v>46</v>
      </c>
      <c r="P289" t="s">
        <v>46</v>
      </c>
      <c r="Q289" t="s">
        <v>46</v>
      </c>
      <c r="R289" s="1">
        <v>45662</v>
      </c>
      <c r="S289" t="s">
        <v>34</v>
      </c>
      <c r="T289" t="s">
        <v>47</v>
      </c>
      <c r="U289" t="s">
        <v>80</v>
      </c>
      <c r="V289" s="1">
        <v>45690</v>
      </c>
      <c r="W289" t="s">
        <v>49</v>
      </c>
      <c r="AB289" s="2">
        <f t="shared" si="60"/>
        <v>1</v>
      </c>
      <c r="AC289">
        <f t="shared" si="61"/>
        <v>0</v>
      </c>
      <c r="AD289">
        <f t="shared" si="62"/>
        <v>2</v>
      </c>
      <c r="AE289" t="str">
        <f t="shared" si="63"/>
        <v>OK</v>
      </c>
      <c r="AF289" t="str">
        <f t="shared" si="64"/>
        <v>OK</v>
      </c>
      <c r="AG289" t="str">
        <f t="shared" si="65"/>
        <v>OK</v>
      </c>
      <c r="AI289" t="str">
        <f t="shared" si="66"/>
        <v>ERROR</v>
      </c>
      <c r="AJ289" t="str">
        <f t="shared" si="67"/>
        <v>OK</v>
      </c>
      <c r="AK289" t="str">
        <f t="shared" si="68"/>
        <v>OK</v>
      </c>
      <c r="AL289" t="str">
        <f t="shared" si="69"/>
        <v>OK</v>
      </c>
      <c r="AM289" t="str">
        <f t="shared" si="70"/>
        <v>OK</v>
      </c>
      <c r="AN289" t="str">
        <f t="shared" si="71"/>
        <v>OK</v>
      </c>
      <c r="AO289" t="str">
        <f t="shared" si="72"/>
        <v>OK</v>
      </c>
      <c r="AP289" t="str">
        <f t="shared" si="73"/>
        <v>OK</v>
      </c>
      <c r="AQ289" t="str">
        <f t="shared" si="74"/>
        <v>OK</v>
      </c>
    </row>
    <row r="290" spans="1:43" x14ac:dyDescent="0.3">
      <c r="A290" t="s">
        <v>1250</v>
      </c>
      <c r="B290" s="1">
        <v>45642</v>
      </c>
      <c r="C290" t="s">
        <v>1251</v>
      </c>
      <c r="D290" t="s">
        <v>39</v>
      </c>
      <c r="E290" t="s">
        <v>1252</v>
      </c>
      <c r="F290" t="s">
        <v>72</v>
      </c>
      <c r="G290" t="s">
        <v>1253</v>
      </c>
      <c r="H290">
        <v>1399</v>
      </c>
      <c r="I290">
        <v>1</v>
      </c>
      <c r="J290">
        <v>1399</v>
      </c>
      <c r="K290" t="s">
        <v>996</v>
      </c>
      <c r="L290">
        <v>20</v>
      </c>
      <c r="M290" t="s">
        <v>112</v>
      </c>
      <c r="N290" t="s">
        <v>31</v>
      </c>
      <c r="O290" t="s">
        <v>119</v>
      </c>
      <c r="P290" t="s">
        <v>120</v>
      </c>
      <c r="Q290" t="s">
        <v>46</v>
      </c>
      <c r="R290" s="1">
        <v>45661</v>
      </c>
      <c r="S290" t="s">
        <v>34</v>
      </c>
      <c r="T290" t="s">
        <v>35</v>
      </c>
      <c r="U290" t="s">
        <v>29</v>
      </c>
      <c r="V290" s="1"/>
      <c r="W290" t="s">
        <v>36</v>
      </c>
      <c r="AB290" s="2">
        <f t="shared" si="60"/>
        <v>1</v>
      </c>
      <c r="AC290">
        <f t="shared" si="61"/>
        <v>0</v>
      </c>
      <c r="AD290">
        <f t="shared" si="62"/>
        <v>2</v>
      </c>
      <c r="AE290" t="str">
        <f t="shared" si="63"/>
        <v>OK</v>
      </c>
      <c r="AF290" t="str">
        <f t="shared" si="64"/>
        <v>OK</v>
      </c>
      <c r="AG290" t="str">
        <f t="shared" si="65"/>
        <v>OK</v>
      </c>
      <c r="AI290" t="str">
        <f t="shared" si="66"/>
        <v>ERROR</v>
      </c>
      <c r="AJ290" t="str">
        <f t="shared" si="67"/>
        <v>OK</v>
      </c>
      <c r="AK290" t="str">
        <f t="shared" si="68"/>
        <v>OK</v>
      </c>
      <c r="AL290" t="str">
        <f t="shared" si="69"/>
        <v>OK</v>
      </c>
      <c r="AM290" t="str">
        <f t="shared" si="70"/>
        <v>ERROR</v>
      </c>
      <c r="AN290" t="str">
        <f t="shared" si="71"/>
        <v>OK</v>
      </c>
      <c r="AO290" t="str">
        <f t="shared" si="72"/>
        <v>OK</v>
      </c>
      <c r="AP290" t="str">
        <f t="shared" si="73"/>
        <v>OK</v>
      </c>
      <c r="AQ290" t="str">
        <f t="shared" si="74"/>
        <v>OK</v>
      </c>
    </row>
    <row r="291" spans="1:43" x14ac:dyDescent="0.3">
      <c r="A291" t="s">
        <v>1254</v>
      </c>
      <c r="B291" s="1">
        <v>45643</v>
      </c>
      <c r="C291" t="s">
        <v>1255</v>
      </c>
      <c r="D291" t="s">
        <v>25</v>
      </c>
      <c r="E291" t="s">
        <v>1256</v>
      </c>
      <c r="F291" t="s">
        <v>27</v>
      </c>
      <c r="G291" t="s">
        <v>1257</v>
      </c>
      <c r="H291">
        <v>1799</v>
      </c>
      <c r="I291">
        <v>1</v>
      </c>
      <c r="J291">
        <v>1799</v>
      </c>
      <c r="K291" t="s">
        <v>29</v>
      </c>
      <c r="L291">
        <v>0</v>
      </c>
      <c r="M291" t="s">
        <v>65</v>
      </c>
      <c r="N291" t="s">
        <v>45</v>
      </c>
      <c r="O291" t="s">
        <v>138</v>
      </c>
      <c r="P291" t="s">
        <v>114</v>
      </c>
      <c r="Q291" t="s">
        <v>46</v>
      </c>
      <c r="R291" s="1">
        <v>45662</v>
      </c>
      <c r="S291" t="s">
        <v>34</v>
      </c>
      <c r="T291" t="s">
        <v>47</v>
      </c>
      <c r="U291" t="s">
        <v>69</v>
      </c>
      <c r="V291" s="1">
        <v>45689</v>
      </c>
      <c r="W291" t="s">
        <v>49</v>
      </c>
      <c r="AB291" s="2">
        <f t="shared" si="60"/>
        <v>1</v>
      </c>
      <c r="AC291">
        <f t="shared" si="61"/>
        <v>0</v>
      </c>
      <c r="AD291">
        <f t="shared" si="62"/>
        <v>2</v>
      </c>
      <c r="AE291" t="str">
        <f t="shared" si="63"/>
        <v>OK</v>
      </c>
      <c r="AF291" t="str">
        <f t="shared" si="64"/>
        <v>OK</v>
      </c>
      <c r="AG291" t="str">
        <f t="shared" si="65"/>
        <v>OK</v>
      </c>
      <c r="AI291" t="str">
        <f t="shared" si="66"/>
        <v>ERROR</v>
      </c>
      <c r="AJ291" t="str">
        <f t="shared" si="67"/>
        <v>OK</v>
      </c>
      <c r="AK291" t="str">
        <f t="shared" si="68"/>
        <v>OK</v>
      </c>
      <c r="AL291" t="str">
        <f t="shared" si="69"/>
        <v>OK</v>
      </c>
      <c r="AM291" t="str">
        <f t="shared" si="70"/>
        <v>OK</v>
      </c>
      <c r="AN291" t="str">
        <f t="shared" si="71"/>
        <v>OK</v>
      </c>
      <c r="AO291" t="str">
        <f t="shared" si="72"/>
        <v>OK</v>
      </c>
      <c r="AP291" t="str">
        <f t="shared" si="73"/>
        <v>OK</v>
      </c>
      <c r="AQ291" t="str">
        <f t="shared" si="74"/>
        <v>OK</v>
      </c>
    </row>
    <row r="292" spans="1:43" x14ac:dyDescent="0.3">
      <c r="A292" t="s">
        <v>1258</v>
      </c>
      <c r="B292" s="1">
        <v>45643</v>
      </c>
      <c r="C292" t="s">
        <v>1259</v>
      </c>
      <c r="D292" t="s">
        <v>25</v>
      </c>
      <c r="E292" t="s">
        <v>1260</v>
      </c>
      <c r="F292" t="s">
        <v>41</v>
      </c>
      <c r="G292" t="s">
        <v>1261</v>
      </c>
      <c r="H292">
        <v>4199</v>
      </c>
      <c r="I292">
        <v>1</v>
      </c>
      <c r="J292">
        <v>4199</v>
      </c>
      <c r="K292" t="s">
        <v>29</v>
      </c>
      <c r="L292">
        <v>0</v>
      </c>
      <c r="M292" t="s">
        <v>44</v>
      </c>
      <c r="N292" t="s">
        <v>66</v>
      </c>
      <c r="O292" t="s">
        <v>144</v>
      </c>
      <c r="P292" t="s">
        <v>145</v>
      </c>
      <c r="Q292" t="s">
        <v>46</v>
      </c>
      <c r="R292" s="1">
        <v>45663</v>
      </c>
      <c r="S292" t="s">
        <v>34</v>
      </c>
      <c r="T292" t="s">
        <v>47</v>
      </c>
      <c r="U292" t="s">
        <v>48</v>
      </c>
      <c r="V292" s="1">
        <v>45691</v>
      </c>
      <c r="W292" t="s">
        <v>49</v>
      </c>
      <c r="AB292" s="2">
        <f t="shared" si="60"/>
        <v>1</v>
      </c>
      <c r="AC292">
        <f t="shared" si="61"/>
        <v>0</v>
      </c>
      <c r="AD292">
        <f t="shared" si="62"/>
        <v>2</v>
      </c>
      <c r="AE292" t="str">
        <f t="shared" si="63"/>
        <v>OK</v>
      </c>
      <c r="AF292" t="str">
        <f t="shared" si="64"/>
        <v>OK</v>
      </c>
      <c r="AG292" t="str">
        <f t="shared" si="65"/>
        <v>OK</v>
      </c>
      <c r="AI292" t="str">
        <f t="shared" si="66"/>
        <v>ERROR</v>
      </c>
      <c r="AJ292" t="str">
        <f t="shared" si="67"/>
        <v>OK</v>
      </c>
      <c r="AK292" t="str">
        <f t="shared" si="68"/>
        <v>OK</v>
      </c>
      <c r="AL292" t="str">
        <f t="shared" si="69"/>
        <v>OK</v>
      </c>
      <c r="AM292" t="str">
        <f t="shared" si="70"/>
        <v>OK</v>
      </c>
      <c r="AN292" t="str">
        <f t="shared" si="71"/>
        <v>OK</v>
      </c>
      <c r="AO292" t="str">
        <f t="shared" si="72"/>
        <v>OK</v>
      </c>
      <c r="AP292" t="str">
        <f t="shared" si="73"/>
        <v>OK</v>
      </c>
      <c r="AQ292" t="str">
        <f t="shared" si="74"/>
        <v>OK</v>
      </c>
    </row>
    <row r="293" spans="1:43" x14ac:dyDescent="0.3">
      <c r="A293" t="s">
        <v>1262</v>
      </c>
      <c r="B293" s="1">
        <v>45643</v>
      </c>
      <c r="C293" t="s">
        <v>1263</v>
      </c>
      <c r="D293" t="s">
        <v>25</v>
      </c>
      <c r="E293" t="s">
        <v>1264</v>
      </c>
      <c r="F293" t="s">
        <v>54</v>
      </c>
      <c r="G293" t="s">
        <v>1265</v>
      </c>
      <c r="H293">
        <v>2799</v>
      </c>
      <c r="I293">
        <v>1</v>
      </c>
      <c r="J293">
        <v>2799</v>
      </c>
      <c r="K293" t="s">
        <v>996</v>
      </c>
      <c r="L293">
        <v>20</v>
      </c>
      <c r="M293" t="s">
        <v>30</v>
      </c>
      <c r="N293" t="s">
        <v>31</v>
      </c>
      <c r="O293" t="s">
        <v>151</v>
      </c>
      <c r="P293" t="s">
        <v>152</v>
      </c>
      <c r="Q293" t="s">
        <v>32</v>
      </c>
      <c r="R293" s="1">
        <v>45663</v>
      </c>
      <c r="S293" t="s">
        <v>34</v>
      </c>
      <c r="T293" t="s">
        <v>35</v>
      </c>
      <c r="U293" t="s">
        <v>29</v>
      </c>
      <c r="V293" s="1"/>
      <c r="W293" t="s">
        <v>36</v>
      </c>
      <c r="AB293" s="2">
        <f t="shared" si="60"/>
        <v>1</v>
      </c>
      <c r="AC293">
        <f t="shared" si="61"/>
        <v>0</v>
      </c>
      <c r="AD293">
        <f t="shared" si="62"/>
        <v>2</v>
      </c>
      <c r="AE293" t="str">
        <f t="shared" si="63"/>
        <v>OK</v>
      </c>
      <c r="AF293" t="str">
        <f t="shared" si="64"/>
        <v>OK</v>
      </c>
      <c r="AG293" t="str">
        <f t="shared" si="65"/>
        <v>OK</v>
      </c>
      <c r="AI293" t="str">
        <f t="shared" si="66"/>
        <v>ERROR</v>
      </c>
      <c r="AJ293" t="str">
        <f t="shared" si="67"/>
        <v>OK</v>
      </c>
      <c r="AK293" t="str">
        <f t="shared" si="68"/>
        <v>OK</v>
      </c>
      <c r="AL293" t="str">
        <f t="shared" si="69"/>
        <v>OK</v>
      </c>
      <c r="AM293" t="str">
        <f t="shared" si="70"/>
        <v>ERROR</v>
      </c>
      <c r="AN293" t="str">
        <f t="shared" si="71"/>
        <v>OK</v>
      </c>
      <c r="AO293" t="str">
        <f t="shared" si="72"/>
        <v>OK</v>
      </c>
      <c r="AP293" t="str">
        <f t="shared" si="73"/>
        <v>OK</v>
      </c>
      <c r="AQ293" t="str">
        <f t="shared" si="74"/>
        <v>OK</v>
      </c>
    </row>
    <row r="294" spans="1:43" x14ac:dyDescent="0.3">
      <c r="A294" t="s">
        <v>1266</v>
      </c>
      <c r="B294" s="1">
        <v>45643</v>
      </c>
      <c r="C294" t="s">
        <v>1267</v>
      </c>
      <c r="D294" t="s">
        <v>25</v>
      </c>
      <c r="E294" t="s">
        <v>1268</v>
      </c>
      <c r="F294" t="s">
        <v>62</v>
      </c>
      <c r="G294" t="s">
        <v>1269</v>
      </c>
      <c r="H294">
        <v>5499</v>
      </c>
      <c r="I294">
        <v>1</v>
      </c>
      <c r="J294">
        <v>5499</v>
      </c>
      <c r="K294" t="s">
        <v>29</v>
      </c>
      <c r="L294">
        <v>0</v>
      </c>
      <c r="M294" t="s">
        <v>56</v>
      </c>
      <c r="N294" t="s">
        <v>45</v>
      </c>
      <c r="O294" t="s">
        <v>157</v>
      </c>
      <c r="P294" t="s">
        <v>98</v>
      </c>
      <c r="Q294" t="s">
        <v>32</v>
      </c>
      <c r="R294" s="1">
        <v>45664</v>
      </c>
      <c r="S294" t="s">
        <v>34</v>
      </c>
      <c r="T294" t="s">
        <v>47</v>
      </c>
      <c r="U294" t="s">
        <v>105</v>
      </c>
      <c r="V294" s="1">
        <v>45692</v>
      </c>
      <c r="W294" t="s">
        <v>49</v>
      </c>
      <c r="AB294" s="2">
        <f t="shared" si="60"/>
        <v>1</v>
      </c>
      <c r="AC294">
        <f t="shared" si="61"/>
        <v>0</v>
      </c>
      <c r="AD294">
        <f t="shared" si="62"/>
        <v>2</v>
      </c>
      <c r="AE294" t="str">
        <f t="shared" si="63"/>
        <v>OK</v>
      </c>
      <c r="AF294" t="str">
        <f t="shared" si="64"/>
        <v>OK</v>
      </c>
      <c r="AG294" t="str">
        <f t="shared" si="65"/>
        <v>OK</v>
      </c>
      <c r="AI294" t="str">
        <f t="shared" si="66"/>
        <v>ERROR</v>
      </c>
      <c r="AJ294" t="str">
        <f t="shared" si="67"/>
        <v>OK</v>
      </c>
      <c r="AK294" t="str">
        <f t="shared" si="68"/>
        <v>OK</v>
      </c>
      <c r="AL294" t="str">
        <f t="shared" si="69"/>
        <v>OK</v>
      </c>
      <c r="AM294" t="str">
        <f t="shared" si="70"/>
        <v>OK</v>
      </c>
      <c r="AN294" t="str">
        <f t="shared" si="71"/>
        <v>OK</v>
      </c>
      <c r="AO294" t="str">
        <f t="shared" si="72"/>
        <v>OK</v>
      </c>
      <c r="AP294" t="str">
        <f t="shared" si="73"/>
        <v>OK</v>
      </c>
      <c r="AQ294" t="str">
        <f t="shared" si="74"/>
        <v>OK</v>
      </c>
    </row>
    <row r="295" spans="1:43" x14ac:dyDescent="0.3">
      <c r="A295" t="s">
        <v>1270</v>
      </c>
      <c r="B295" s="1">
        <v>45644</v>
      </c>
      <c r="C295" t="s">
        <v>1271</v>
      </c>
      <c r="D295" t="s">
        <v>39</v>
      </c>
      <c r="E295" t="s">
        <v>1272</v>
      </c>
      <c r="F295" t="s">
        <v>72</v>
      </c>
      <c r="G295" t="s">
        <v>1273</v>
      </c>
      <c r="H295">
        <v>699</v>
      </c>
      <c r="I295">
        <v>2</v>
      </c>
      <c r="J295">
        <v>1398</v>
      </c>
      <c r="K295" t="s">
        <v>29</v>
      </c>
      <c r="L295">
        <v>0</v>
      </c>
      <c r="M295" t="s">
        <v>112</v>
      </c>
      <c r="N295" t="s">
        <v>66</v>
      </c>
      <c r="O295" t="s">
        <v>162</v>
      </c>
      <c r="P295" t="s">
        <v>163</v>
      </c>
      <c r="Q295" t="s">
        <v>46</v>
      </c>
      <c r="R295" s="1">
        <v>45663</v>
      </c>
      <c r="S295" t="s">
        <v>34</v>
      </c>
      <c r="T295" t="s">
        <v>35</v>
      </c>
      <c r="U295" t="s">
        <v>29</v>
      </c>
      <c r="V295" s="1"/>
      <c r="W295" t="s">
        <v>36</v>
      </c>
      <c r="AB295" s="2">
        <f t="shared" si="60"/>
        <v>1</v>
      </c>
      <c r="AC295">
        <f t="shared" si="61"/>
        <v>0</v>
      </c>
      <c r="AD295">
        <f t="shared" si="62"/>
        <v>2</v>
      </c>
      <c r="AE295" t="str">
        <f t="shared" si="63"/>
        <v>OK</v>
      </c>
      <c r="AF295" t="str">
        <f t="shared" si="64"/>
        <v>OK</v>
      </c>
      <c r="AG295" t="str">
        <f t="shared" si="65"/>
        <v>OK</v>
      </c>
      <c r="AI295" t="str">
        <f t="shared" si="66"/>
        <v>ERROR</v>
      </c>
      <c r="AJ295" t="str">
        <f t="shared" si="67"/>
        <v>OK</v>
      </c>
      <c r="AK295" t="str">
        <f t="shared" si="68"/>
        <v>OK</v>
      </c>
      <c r="AL295" t="str">
        <f t="shared" si="69"/>
        <v>OK</v>
      </c>
      <c r="AM295" t="str">
        <f t="shared" si="70"/>
        <v>ERROR</v>
      </c>
      <c r="AN295" t="str">
        <f t="shared" si="71"/>
        <v>OK</v>
      </c>
      <c r="AO295" t="str">
        <f t="shared" si="72"/>
        <v>OK</v>
      </c>
      <c r="AP295" t="str">
        <f t="shared" si="73"/>
        <v>OK</v>
      </c>
      <c r="AQ295" t="str">
        <f t="shared" si="74"/>
        <v>OK</v>
      </c>
    </row>
    <row r="296" spans="1:43" x14ac:dyDescent="0.3">
      <c r="A296" t="s">
        <v>1274</v>
      </c>
      <c r="B296" s="1">
        <v>45644</v>
      </c>
      <c r="C296" t="s">
        <v>1275</v>
      </c>
      <c r="D296" t="s">
        <v>25</v>
      </c>
      <c r="E296" t="s">
        <v>1276</v>
      </c>
      <c r="F296" t="s">
        <v>27</v>
      </c>
      <c r="G296" t="s">
        <v>1277</v>
      </c>
      <c r="H296">
        <v>2299</v>
      </c>
      <c r="I296">
        <v>1</v>
      </c>
      <c r="J296">
        <v>2299</v>
      </c>
      <c r="K296" t="s">
        <v>996</v>
      </c>
      <c r="L296">
        <v>20</v>
      </c>
      <c r="M296" t="s">
        <v>65</v>
      </c>
      <c r="N296" t="s">
        <v>31</v>
      </c>
      <c r="O296" t="s">
        <v>168</v>
      </c>
      <c r="P296" t="s">
        <v>152</v>
      </c>
      <c r="Q296" t="s">
        <v>32</v>
      </c>
      <c r="R296" s="1">
        <v>45664</v>
      </c>
      <c r="S296" t="s">
        <v>34</v>
      </c>
      <c r="T296" t="s">
        <v>47</v>
      </c>
      <c r="U296" t="s">
        <v>139</v>
      </c>
      <c r="V296" s="1">
        <v>45691</v>
      </c>
      <c r="W296" t="s">
        <v>49</v>
      </c>
      <c r="AB296" s="2">
        <f t="shared" si="60"/>
        <v>1</v>
      </c>
      <c r="AC296">
        <f t="shared" si="61"/>
        <v>0</v>
      </c>
      <c r="AD296">
        <f t="shared" si="62"/>
        <v>2</v>
      </c>
      <c r="AE296" t="str">
        <f t="shared" si="63"/>
        <v>OK</v>
      </c>
      <c r="AF296" t="str">
        <f t="shared" si="64"/>
        <v>OK</v>
      </c>
      <c r="AG296" t="str">
        <f t="shared" si="65"/>
        <v>OK</v>
      </c>
      <c r="AI296" t="str">
        <f t="shared" si="66"/>
        <v>ERROR</v>
      </c>
      <c r="AJ296" t="str">
        <f t="shared" si="67"/>
        <v>OK</v>
      </c>
      <c r="AK296" t="str">
        <f t="shared" si="68"/>
        <v>OK</v>
      </c>
      <c r="AL296" t="str">
        <f t="shared" si="69"/>
        <v>OK</v>
      </c>
      <c r="AM296" t="str">
        <f t="shared" si="70"/>
        <v>OK</v>
      </c>
      <c r="AN296" t="str">
        <f t="shared" si="71"/>
        <v>OK</v>
      </c>
      <c r="AO296" t="str">
        <f t="shared" si="72"/>
        <v>OK</v>
      </c>
      <c r="AP296" t="str">
        <f t="shared" si="73"/>
        <v>OK</v>
      </c>
      <c r="AQ296" t="str">
        <f t="shared" si="74"/>
        <v>OK</v>
      </c>
    </row>
    <row r="297" spans="1:43" x14ac:dyDescent="0.3">
      <c r="A297" t="s">
        <v>1278</v>
      </c>
      <c r="B297" s="1">
        <v>45644</v>
      </c>
      <c r="C297" t="s">
        <v>1279</v>
      </c>
      <c r="D297" t="s">
        <v>25</v>
      </c>
      <c r="E297" t="s">
        <v>1280</v>
      </c>
      <c r="F297" t="s">
        <v>41</v>
      </c>
      <c r="G297" t="s">
        <v>1281</v>
      </c>
      <c r="H297">
        <v>3599</v>
      </c>
      <c r="I297">
        <v>1</v>
      </c>
      <c r="J297">
        <v>3599</v>
      </c>
      <c r="K297" t="s">
        <v>29</v>
      </c>
      <c r="L297">
        <v>0</v>
      </c>
      <c r="M297" t="s">
        <v>44</v>
      </c>
      <c r="N297" t="s">
        <v>45</v>
      </c>
      <c r="O297" t="s">
        <v>173</v>
      </c>
      <c r="P297" t="s">
        <v>33</v>
      </c>
      <c r="Q297" t="s">
        <v>32</v>
      </c>
      <c r="R297" s="1">
        <v>45665</v>
      </c>
      <c r="S297" t="s">
        <v>34</v>
      </c>
      <c r="T297" t="s">
        <v>35</v>
      </c>
      <c r="U297" t="s">
        <v>29</v>
      </c>
      <c r="V297" s="1"/>
      <c r="W297" t="s">
        <v>36</v>
      </c>
      <c r="AB297" s="2">
        <f t="shared" si="60"/>
        <v>1</v>
      </c>
      <c r="AC297">
        <f t="shared" si="61"/>
        <v>0</v>
      </c>
      <c r="AD297">
        <f t="shared" si="62"/>
        <v>2</v>
      </c>
      <c r="AE297" t="str">
        <f t="shared" si="63"/>
        <v>OK</v>
      </c>
      <c r="AF297" t="str">
        <f t="shared" si="64"/>
        <v>OK</v>
      </c>
      <c r="AG297" t="str">
        <f t="shared" si="65"/>
        <v>OK</v>
      </c>
      <c r="AI297" t="str">
        <f t="shared" si="66"/>
        <v>ERROR</v>
      </c>
      <c r="AJ297" t="str">
        <f t="shared" si="67"/>
        <v>OK</v>
      </c>
      <c r="AK297" t="str">
        <f t="shared" si="68"/>
        <v>OK</v>
      </c>
      <c r="AL297" t="str">
        <f t="shared" si="69"/>
        <v>OK</v>
      </c>
      <c r="AM297" t="str">
        <f t="shared" si="70"/>
        <v>ERROR</v>
      </c>
      <c r="AN297" t="str">
        <f t="shared" si="71"/>
        <v>OK</v>
      </c>
      <c r="AO297" t="str">
        <f t="shared" si="72"/>
        <v>OK</v>
      </c>
      <c r="AP297" t="str">
        <f t="shared" si="73"/>
        <v>OK</v>
      </c>
      <c r="AQ297" t="str">
        <f t="shared" si="74"/>
        <v>OK</v>
      </c>
    </row>
    <row r="298" spans="1:43" x14ac:dyDescent="0.3">
      <c r="A298" t="s">
        <v>1282</v>
      </c>
      <c r="B298" s="1">
        <v>45644</v>
      </c>
      <c r="C298" t="s">
        <v>1283</v>
      </c>
      <c r="D298" t="s">
        <v>25</v>
      </c>
      <c r="E298" t="s">
        <v>1284</v>
      </c>
      <c r="F298" t="s">
        <v>54</v>
      </c>
      <c r="G298" t="s">
        <v>1285</v>
      </c>
      <c r="H298">
        <v>2499</v>
      </c>
      <c r="I298">
        <v>1</v>
      </c>
      <c r="J298">
        <v>2499</v>
      </c>
      <c r="K298" t="s">
        <v>29</v>
      </c>
      <c r="L298">
        <v>0</v>
      </c>
      <c r="M298" t="s">
        <v>30</v>
      </c>
      <c r="N298" t="s">
        <v>66</v>
      </c>
      <c r="O298" t="s">
        <v>178</v>
      </c>
      <c r="P298" t="s">
        <v>68</v>
      </c>
      <c r="Q298" t="s">
        <v>57</v>
      </c>
      <c r="R298" s="1">
        <v>45665</v>
      </c>
      <c r="S298" t="s">
        <v>34</v>
      </c>
      <c r="T298" t="s">
        <v>47</v>
      </c>
      <c r="U298" t="s">
        <v>48</v>
      </c>
      <c r="V298" s="1">
        <v>45693</v>
      </c>
      <c r="W298" t="s">
        <v>49</v>
      </c>
      <c r="AB298" s="2">
        <f t="shared" si="60"/>
        <v>1</v>
      </c>
      <c r="AC298">
        <f t="shared" si="61"/>
        <v>0</v>
      </c>
      <c r="AD298">
        <f t="shared" si="62"/>
        <v>2</v>
      </c>
      <c r="AE298" t="str">
        <f t="shared" si="63"/>
        <v>OK</v>
      </c>
      <c r="AF298" t="str">
        <f t="shared" si="64"/>
        <v>OK</v>
      </c>
      <c r="AG298" t="str">
        <f t="shared" si="65"/>
        <v>OK</v>
      </c>
      <c r="AI298" t="str">
        <f t="shared" si="66"/>
        <v>ERROR</v>
      </c>
      <c r="AJ298" t="str">
        <f t="shared" si="67"/>
        <v>OK</v>
      </c>
      <c r="AK298" t="str">
        <f t="shared" si="68"/>
        <v>OK</v>
      </c>
      <c r="AL298" t="str">
        <f t="shared" si="69"/>
        <v>OK</v>
      </c>
      <c r="AM298" t="str">
        <f t="shared" si="70"/>
        <v>OK</v>
      </c>
      <c r="AN298" t="str">
        <f t="shared" si="71"/>
        <v>OK</v>
      </c>
      <c r="AO298" t="str">
        <f t="shared" si="72"/>
        <v>OK</v>
      </c>
      <c r="AP298" t="str">
        <f t="shared" si="73"/>
        <v>OK</v>
      </c>
      <c r="AQ298" t="str">
        <f t="shared" si="74"/>
        <v>OK</v>
      </c>
    </row>
    <row r="299" spans="1:43" x14ac:dyDescent="0.3">
      <c r="A299" t="s">
        <v>1286</v>
      </c>
      <c r="B299" s="1">
        <v>45645</v>
      </c>
      <c r="C299" t="s">
        <v>1287</v>
      </c>
      <c r="D299" t="s">
        <v>25</v>
      </c>
      <c r="E299" t="s">
        <v>1288</v>
      </c>
      <c r="F299" t="s">
        <v>62</v>
      </c>
      <c r="G299" t="s">
        <v>1289</v>
      </c>
      <c r="H299">
        <v>6799</v>
      </c>
      <c r="I299">
        <v>1</v>
      </c>
      <c r="J299">
        <v>6799</v>
      </c>
      <c r="K299" t="s">
        <v>996</v>
      </c>
      <c r="L299">
        <v>20</v>
      </c>
      <c r="M299" t="s">
        <v>56</v>
      </c>
      <c r="N299" t="s">
        <v>31</v>
      </c>
      <c r="O299" t="s">
        <v>183</v>
      </c>
      <c r="P299" t="s">
        <v>184</v>
      </c>
      <c r="Q299" t="s">
        <v>57</v>
      </c>
      <c r="R299" s="1">
        <v>45666</v>
      </c>
      <c r="S299" t="s">
        <v>34</v>
      </c>
      <c r="T299" t="s">
        <v>47</v>
      </c>
      <c r="U299" t="s">
        <v>80</v>
      </c>
      <c r="V299" s="1">
        <v>45694</v>
      </c>
      <c r="W299" t="s">
        <v>49</v>
      </c>
      <c r="AB299" s="2">
        <f t="shared" si="60"/>
        <v>1</v>
      </c>
      <c r="AC299">
        <f t="shared" si="61"/>
        <v>0</v>
      </c>
      <c r="AD299">
        <f t="shared" si="62"/>
        <v>2</v>
      </c>
      <c r="AE299" t="str">
        <f t="shared" si="63"/>
        <v>OK</v>
      </c>
      <c r="AF299" t="str">
        <f t="shared" si="64"/>
        <v>OK</v>
      </c>
      <c r="AG299" t="str">
        <f t="shared" si="65"/>
        <v>OK</v>
      </c>
      <c r="AI299" t="str">
        <f t="shared" si="66"/>
        <v>ERROR</v>
      </c>
      <c r="AJ299" t="str">
        <f t="shared" si="67"/>
        <v>OK</v>
      </c>
      <c r="AK299" t="str">
        <f t="shared" si="68"/>
        <v>OK</v>
      </c>
      <c r="AL299" t="str">
        <f t="shared" si="69"/>
        <v>OK</v>
      </c>
      <c r="AM299" t="str">
        <f t="shared" si="70"/>
        <v>OK</v>
      </c>
      <c r="AN299" t="str">
        <f t="shared" si="71"/>
        <v>OK</v>
      </c>
      <c r="AO299" t="str">
        <f t="shared" si="72"/>
        <v>OK</v>
      </c>
      <c r="AP299" t="str">
        <f t="shared" si="73"/>
        <v>OK</v>
      </c>
      <c r="AQ299" t="str">
        <f t="shared" si="74"/>
        <v>OK</v>
      </c>
    </row>
    <row r="300" spans="1:43" x14ac:dyDescent="0.3">
      <c r="A300" t="s">
        <v>1290</v>
      </c>
      <c r="B300" s="1">
        <v>45645</v>
      </c>
      <c r="C300" t="s">
        <v>1291</v>
      </c>
      <c r="D300" t="s">
        <v>39</v>
      </c>
      <c r="E300" t="s">
        <v>1292</v>
      </c>
      <c r="F300" t="s">
        <v>72</v>
      </c>
      <c r="G300" t="s">
        <v>1293</v>
      </c>
      <c r="H300">
        <v>599</v>
      </c>
      <c r="I300">
        <v>3</v>
      </c>
      <c r="J300">
        <v>1797</v>
      </c>
      <c r="K300" t="s">
        <v>29</v>
      </c>
      <c r="L300">
        <v>0</v>
      </c>
      <c r="M300" t="s">
        <v>112</v>
      </c>
      <c r="N300" t="s">
        <v>45</v>
      </c>
      <c r="O300" t="s">
        <v>189</v>
      </c>
      <c r="P300" t="s">
        <v>190</v>
      </c>
      <c r="Q300" t="s">
        <v>57</v>
      </c>
      <c r="R300" s="1">
        <v>45665</v>
      </c>
      <c r="S300" t="s">
        <v>34</v>
      </c>
      <c r="T300" t="s">
        <v>35</v>
      </c>
      <c r="U300" t="s">
        <v>29</v>
      </c>
      <c r="V300" s="1"/>
      <c r="W300" t="s">
        <v>36</v>
      </c>
      <c r="AB300" s="2">
        <f t="shared" si="60"/>
        <v>1</v>
      </c>
      <c r="AC300">
        <f t="shared" si="61"/>
        <v>0</v>
      </c>
      <c r="AD300">
        <f t="shared" si="62"/>
        <v>2</v>
      </c>
      <c r="AE300" t="str">
        <f t="shared" si="63"/>
        <v>OK</v>
      </c>
      <c r="AF300" t="str">
        <f t="shared" si="64"/>
        <v>OK</v>
      </c>
      <c r="AG300" t="str">
        <f t="shared" si="65"/>
        <v>OK</v>
      </c>
      <c r="AI300" t="str">
        <f t="shared" si="66"/>
        <v>ERROR</v>
      </c>
      <c r="AJ300" t="str">
        <f t="shared" si="67"/>
        <v>OK</v>
      </c>
      <c r="AK300" t="str">
        <f t="shared" si="68"/>
        <v>OK</v>
      </c>
      <c r="AL300" t="str">
        <f t="shared" si="69"/>
        <v>OK</v>
      </c>
      <c r="AM300" t="str">
        <f t="shared" si="70"/>
        <v>ERROR</v>
      </c>
      <c r="AN300" t="str">
        <f t="shared" si="71"/>
        <v>OK</v>
      </c>
      <c r="AO300" t="str">
        <f t="shared" si="72"/>
        <v>OK</v>
      </c>
      <c r="AP300" t="str">
        <f t="shared" si="73"/>
        <v>OK</v>
      </c>
      <c r="AQ300" t="str">
        <f t="shared" si="74"/>
        <v>OK</v>
      </c>
    </row>
    <row r="301" spans="1:43" x14ac:dyDescent="0.3">
      <c r="A301" t="s">
        <v>1294</v>
      </c>
      <c r="B301" s="1">
        <v>45645</v>
      </c>
      <c r="C301" t="s">
        <v>1295</v>
      </c>
      <c r="D301" t="s">
        <v>25</v>
      </c>
      <c r="E301" t="s">
        <v>1296</v>
      </c>
      <c r="F301" t="s">
        <v>27</v>
      </c>
      <c r="G301" t="s">
        <v>1297</v>
      </c>
      <c r="H301">
        <v>1899</v>
      </c>
      <c r="I301">
        <v>1</v>
      </c>
      <c r="J301">
        <v>1899</v>
      </c>
      <c r="K301" t="s">
        <v>29</v>
      </c>
      <c r="L301">
        <v>0</v>
      </c>
      <c r="M301" t="s">
        <v>65</v>
      </c>
      <c r="N301" t="s">
        <v>66</v>
      </c>
      <c r="O301" t="s">
        <v>195</v>
      </c>
      <c r="P301" t="s">
        <v>184</v>
      </c>
      <c r="Q301" t="s">
        <v>57</v>
      </c>
      <c r="R301" s="1">
        <v>45666</v>
      </c>
      <c r="S301" t="s">
        <v>34</v>
      </c>
      <c r="T301" t="s">
        <v>47</v>
      </c>
      <c r="U301" t="s">
        <v>69</v>
      </c>
      <c r="V301" s="1">
        <v>45693</v>
      </c>
      <c r="W301" t="s">
        <v>49</v>
      </c>
      <c r="AB301" s="2">
        <f t="shared" si="60"/>
        <v>1</v>
      </c>
      <c r="AC301">
        <f t="shared" si="61"/>
        <v>0</v>
      </c>
      <c r="AD301">
        <f t="shared" si="62"/>
        <v>2</v>
      </c>
      <c r="AE301" t="str">
        <f t="shared" si="63"/>
        <v>OK</v>
      </c>
      <c r="AF301" t="str">
        <f t="shared" si="64"/>
        <v>OK</v>
      </c>
      <c r="AG301" t="str">
        <f t="shared" si="65"/>
        <v>OK</v>
      </c>
      <c r="AI301" t="str">
        <f t="shared" si="66"/>
        <v>ERROR</v>
      </c>
      <c r="AJ301" t="str">
        <f t="shared" si="67"/>
        <v>OK</v>
      </c>
      <c r="AK301" t="str">
        <f t="shared" si="68"/>
        <v>OK</v>
      </c>
      <c r="AL301" t="str">
        <f t="shared" si="69"/>
        <v>OK</v>
      </c>
      <c r="AM301" t="str">
        <f t="shared" si="70"/>
        <v>OK</v>
      </c>
      <c r="AN301" t="str">
        <f t="shared" si="71"/>
        <v>OK</v>
      </c>
      <c r="AO301" t="str">
        <f t="shared" si="72"/>
        <v>OK</v>
      </c>
      <c r="AP301" t="str">
        <f t="shared" si="73"/>
        <v>OK</v>
      </c>
      <c r="AQ301" t="str">
        <f t="shared" si="74"/>
        <v>OK</v>
      </c>
    </row>
    <row r="302" spans="1:43" x14ac:dyDescent="0.3">
      <c r="A302" t="s">
        <v>1298</v>
      </c>
      <c r="B302" s="1">
        <v>45645</v>
      </c>
      <c r="C302" t="s">
        <v>1299</v>
      </c>
      <c r="D302" t="s">
        <v>25</v>
      </c>
      <c r="E302" t="s">
        <v>1300</v>
      </c>
      <c r="F302" t="s">
        <v>41</v>
      </c>
      <c r="G302" t="s">
        <v>1301</v>
      </c>
      <c r="H302">
        <v>4499</v>
      </c>
      <c r="I302">
        <v>1</v>
      </c>
      <c r="J302">
        <v>4499</v>
      </c>
      <c r="K302" t="s">
        <v>996</v>
      </c>
      <c r="L302">
        <v>20</v>
      </c>
      <c r="M302" t="s">
        <v>44</v>
      </c>
      <c r="N302" t="s">
        <v>31</v>
      </c>
      <c r="O302" t="s">
        <v>200</v>
      </c>
      <c r="P302" t="s">
        <v>58</v>
      </c>
      <c r="Q302" t="s">
        <v>57</v>
      </c>
      <c r="R302" s="1">
        <v>45667</v>
      </c>
      <c r="S302" t="s">
        <v>34</v>
      </c>
      <c r="T302" t="s">
        <v>47</v>
      </c>
      <c r="U302" t="s">
        <v>48</v>
      </c>
      <c r="V302" s="1">
        <v>45695</v>
      </c>
      <c r="W302" t="s">
        <v>49</v>
      </c>
      <c r="AB302" s="2">
        <f t="shared" si="60"/>
        <v>1</v>
      </c>
      <c r="AC302">
        <f t="shared" si="61"/>
        <v>0</v>
      </c>
      <c r="AD302">
        <f t="shared" si="62"/>
        <v>2</v>
      </c>
      <c r="AE302" t="str">
        <f t="shared" si="63"/>
        <v>OK</v>
      </c>
      <c r="AF302" t="str">
        <f t="shared" si="64"/>
        <v>OK</v>
      </c>
      <c r="AG302" t="str">
        <f t="shared" si="65"/>
        <v>OK</v>
      </c>
      <c r="AI302" t="str">
        <f t="shared" si="66"/>
        <v>ERROR</v>
      </c>
      <c r="AJ302" t="str">
        <f t="shared" si="67"/>
        <v>OK</v>
      </c>
      <c r="AK302" t="str">
        <f t="shared" si="68"/>
        <v>OK</v>
      </c>
      <c r="AL302" t="str">
        <f t="shared" si="69"/>
        <v>OK</v>
      </c>
      <c r="AM302" t="str">
        <f t="shared" si="70"/>
        <v>OK</v>
      </c>
      <c r="AN302" t="str">
        <f t="shared" si="71"/>
        <v>OK</v>
      </c>
      <c r="AO302" t="str">
        <f t="shared" si="72"/>
        <v>OK</v>
      </c>
      <c r="AP302" t="str">
        <f t="shared" si="73"/>
        <v>OK</v>
      </c>
      <c r="AQ302" t="str">
        <f t="shared" si="74"/>
        <v>OK</v>
      </c>
    </row>
    <row r="303" spans="1:43" x14ac:dyDescent="0.3">
      <c r="A303" t="s">
        <v>1302</v>
      </c>
      <c r="B303" s="1">
        <v>45646</v>
      </c>
      <c r="C303" t="s">
        <v>1303</v>
      </c>
      <c r="D303" t="s">
        <v>25</v>
      </c>
      <c r="E303" t="s">
        <v>1304</v>
      </c>
      <c r="F303" t="s">
        <v>54</v>
      </c>
      <c r="G303" t="s">
        <v>1305</v>
      </c>
      <c r="H303">
        <v>2199</v>
      </c>
      <c r="I303">
        <v>1</v>
      </c>
      <c r="J303">
        <v>2199</v>
      </c>
      <c r="K303" t="s">
        <v>29</v>
      </c>
      <c r="L303">
        <v>0</v>
      </c>
      <c r="M303" t="s">
        <v>30</v>
      </c>
      <c r="N303" t="s">
        <v>45</v>
      </c>
      <c r="O303" t="s">
        <v>205</v>
      </c>
      <c r="P303" t="s">
        <v>98</v>
      </c>
      <c r="Q303" t="s">
        <v>32</v>
      </c>
      <c r="R303" s="1">
        <v>45667</v>
      </c>
      <c r="S303" t="s">
        <v>34</v>
      </c>
      <c r="T303" t="s">
        <v>35</v>
      </c>
      <c r="U303" t="s">
        <v>29</v>
      </c>
      <c r="V303" s="1"/>
      <c r="W303" t="s">
        <v>36</v>
      </c>
      <c r="AB303" s="2">
        <f t="shared" si="60"/>
        <v>1</v>
      </c>
      <c r="AC303">
        <f t="shared" si="61"/>
        <v>0</v>
      </c>
      <c r="AD303">
        <f t="shared" si="62"/>
        <v>2</v>
      </c>
      <c r="AE303" t="str">
        <f t="shared" si="63"/>
        <v>OK</v>
      </c>
      <c r="AF303" t="str">
        <f t="shared" si="64"/>
        <v>OK</v>
      </c>
      <c r="AG303" t="str">
        <f t="shared" si="65"/>
        <v>OK</v>
      </c>
      <c r="AI303" t="str">
        <f t="shared" si="66"/>
        <v>ERROR</v>
      </c>
      <c r="AJ303" t="str">
        <f t="shared" si="67"/>
        <v>OK</v>
      </c>
      <c r="AK303" t="str">
        <f t="shared" si="68"/>
        <v>OK</v>
      </c>
      <c r="AL303" t="str">
        <f t="shared" si="69"/>
        <v>OK</v>
      </c>
      <c r="AM303" t="str">
        <f t="shared" si="70"/>
        <v>ERROR</v>
      </c>
      <c r="AN303" t="str">
        <f t="shared" si="71"/>
        <v>OK</v>
      </c>
      <c r="AO303" t="str">
        <f t="shared" si="72"/>
        <v>OK</v>
      </c>
      <c r="AP303" t="str">
        <f t="shared" si="73"/>
        <v>OK</v>
      </c>
      <c r="AQ303" t="str">
        <f t="shared" si="74"/>
        <v>OK</v>
      </c>
    </row>
    <row r="304" spans="1:43" x14ac:dyDescent="0.3">
      <c r="A304" t="s">
        <v>1306</v>
      </c>
      <c r="B304" s="1">
        <v>45646</v>
      </c>
      <c r="C304" t="s">
        <v>1307</v>
      </c>
      <c r="D304" t="s">
        <v>25</v>
      </c>
      <c r="E304" t="s">
        <v>1308</v>
      </c>
      <c r="F304" t="s">
        <v>62</v>
      </c>
      <c r="G304" t="s">
        <v>1309</v>
      </c>
      <c r="H304">
        <v>5199</v>
      </c>
      <c r="I304">
        <v>1</v>
      </c>
      <c r="J304">
        <v>5199</v>
      </c>
      <c r="K304" t="s">
        <v>29</v>
      </c>
      <c r="L304">
        <v>0</v>
      </c>
      <c r="M304" t="s">
        <v>56</v>
      </c>
      <c r="N304" t="s">
        <v>66</v>
      </c>
      <c r="O304" t="s">
        <v>210</v>
      </c>
      <c r="P304" t="s">
        <v>98</v>
      </c>
      <c r="Q304" t="s">
        <v>32</v>
      </c>
      <c r="R304" s="1">
        <v>45668</v>
      </c>
      <c r="S304" t="s">
        <v>34</v>
      </c>
      <c r="T304" t="s">
        <v>47</v>
      </c>
      <c r="U304" t="s">
        <v>105</v>
      </c>
      <c r="V304" s="1">
        <v>45696</v>
      </c>
      <c r="W304" t="s">
        <v>49</v>
      </c>
      <c r="AB304" s="2">
        <f t="shared" si="60"/>
        <v>1</v>
      </c>
      <c r="AC304">
        <f t="shared" si="61"/>
        <v>0</v>
      </c>
      <c r="AD304">
        <f t="shared" si="62"/>
        <v>2</v>
      </c>
      <c r="AE304" t="str">
        <f t="shared" si="63"/>
        <v>OK</v>
      </c>
      <c r="AF304" t="str">
        <f t="shared" si="64"/>
        <v>OK</v>
      </c>
      <c r="AG304" t="str">
        <f t="shared" si="65"/>
        <v>OK</v>
      </c>
      <c r="AI304" t="str">
        <f t="shared" si="66"/>
        <v>ERROR</v>
      </c>
      <c r="AJ304" t="str">
        <f t="shared" si="67"/>
        <v>OK</v>
      </c>
      <c r="AK304" t="str">
        <f t="shared" si="68"/>
        <v>OK</v>
      </c>
      <c r="AL304" t="str">
        <f t="shared" si="69"/>
        <v>OK</v>
      </c>
      <c r="AM304" t="str">
        <f t="shared" si="70"/>
        <v>OK</v>
      </c>
      <c r="AN304" t="str">
        <f t="shared" si="71"/>
        <v>OK</v>
      </c>
      <c r="AO304" t="str">
        <f t="shared" si="72"/>
        <v>OK</v>
      </c>
      <c r="AP304" t="str">
        <f t="shared" si="73"/>
        <v>OK</v>
      </c>
      <c r="AQ304" t="str">
        <f t="shared" si="74"/>
        <v>OK</v>
      </c>
    </row>
    <row r="305" spans="1:43" x14ac:dyDescent="0.3">
      <c r="A305" t="s">
        <v>1310</v>
      </c>
      <c r="B305" s="1">
        <v>45646</v>
      </c>
      <c r="C305" t="s">
        <v>1311</v>
      </c>
      <c r="D305" t="s">
        <v>39</v>
      </c>
      <c r="E305" t="s">
        <v>1312</v>
      </c>
      <c r="F305" t="s">
        <v>72</v>
      </c>
      <c r="G305" t="s">
        <v>1313</v>
      </c>
      <c r="H305">
        <v>499</v>
      </c>
      <c r="I305">
        <v>2</v>
      </c>
      <c r="J305">
        <v>998</v>
      </c>
      <c r="K305" t="s">
        <v>996</v>
      </c>
      <c r="L305">
        <v>20</v>
      </c>
      <c r="M305" t="s">
        <v>112</v>
      </c>
      <c r="N305" t="s">
        <v>31</v>
      </c>
      <c r="O305" t="s">
        <v>215</v>
      </c>
      <c r="P305" t="s">
        <v>114</v>
      </c>
      <c r="Q305" t="s">
        <v>46</v>
      </c>
      <c r="R305" s="1">
        <v>45667</v>
      </c>
      <c r="S305" t="s">
        <v>34</v>
      </c>
      <c r="T305" t="s">
        <v>35</v>
      </c>
      <c r="U305" t="s">
        <v>29</v>
      </c>
      <c r="V305" s="1"/>
      <c r="W305" t="s">
        <v>36</v>
      </c>
      <c r="AB305" s="2">
        <f t="shared" si="60"/>
        <v>1</v>
      </c>
      <c r="AC305">
        <f t="shared" si="61"/>
        <v>0</v>
      </c>
      <c r="AD305">
        <f t="shared" si="62"/>
        <v>2</v>
      </c>
      <c r="AE305" t="str">
        <f t="shared" si="63"/>
        <v>OK</v>
      </c>
      <c r="AF305" t="str">
        <f t="shared" si="64"/>
        <v>OK</v>
      </c>
      <c r="AG305" t="str">
        <f t="shared" si="65"/>
        <v>OK</v>
      </c>
      <c r="AI305" t="str">
        <f t="shared" si="66"/>
        <v>ERROR</v>
      </c>
      <c r="AJ305" t="str">
        <f t="shared" si="67"/>
        <v>OK</v>
      </c>
      <c r="AK305" t="str">
        <f t="shared" si="68"/>
        <v>OK</v>
      </c>
      <c r="AL305" t="str">
        <f t="shared" si="69"/>
        <v>OK</v>
      </c>
      <c r="AM305" t="str">
        <f t="shared" si="70"/>
        <v>ERROR</v>
      </c>
      <c r="AN305" t="str">
        <f t="shared" si="71"/>
        <v>OK</v>
      </c>
      <c r="AO305" t="str">
        <f t="shared" si="72"/>
        <v>OK</v>
      </c>
      <c r="AP305" t="str">
        <f t="shared" si="73"/>
        <v>OK</v>
      </c>
      <c r="AQ305" t="str">
        <f t="shared" si="74"/>
        <v>OK</v>
      </c>
    </row>
    <row r="306" spans="1:43" x14ac:dyDescent="0.3">
      <c r="A306" t="s">
        <v>1314</v>
      </c>
      <c r="B306" s="1">
        <v>45646</v>
      </c>
      <c r="C306" t="s">
        <v>1315</v>
      </c>
      <c r="D306" t="s">
        <v>25</v>
      </c>
      <c r="E306" t="s">
        <v>1316</v>
      </c>
      <c r="F306" t="s">
        <v>27</v>
      </c>
      <c r="G306" t="s">
        <v>1317</v>
      </c>
      <c r="H306">
        <v>2099</v>
      </c>
      <c r="I306">
        <v>1</v>
      </c>
      <c r="J306">
        <v>2099</v>
      </c>
      <c r="K306" t="s">
        <v>29</v>
      </c>
      <c r="L306">
        <v>0</v>
      </c>
      <c r="M306" t="s">
        <v>65</v>
      </c>
      <c r="N306" t="s">
        <v>45</v>
      </c>
      <c r="O306" t="s">
        <v>32</v>
      </c>
      <c r="P306" t="s">
        <v>33</v>
      </c>
      <c r="Q306" t="s">
        <v>32</v>
      </c>
      <c r="R306" s="1">
        <v>45668</v>
      </c>
      <c r="S306" t="s">
        <v>34</v>
      </c>
      <c r="T306" t="s">
        <v>47</v>
      </c>
      <c r="U306" t="s">
        <v>139</v>
      </c>
      <c r="V306" s="1">
        <v>45695</v>
      </c>
      <c r="W306" t="s">
        <v>49</v>
      </c>
      <c r="AB306" s="2">
        <f t="shared" si="60"/>
        <v>1</v>
      </c>
      <c r="AC306">
        <f t="shared" si="61"/>
        <v>0</v>
      </c>
      <c r="AD306">
        <f t="shared" si="62"/>
        <v>2</v>
      </c>
      <c r="AE306" t="str">
        <f t="shared" si="63"/>
        <v>OK</v>
      </c>
      <c r="AF306" t="str">
        <f t="shared" si="64"/>
        <v>OK</v>
      </c>
      <c r="AG306" t="str">
        <f t="shared" si="65"/>
        <v>OK</v>
      </c>
      <c r="AI306" t="str">
        <f t="shared" si="66"/>
        <v>ERROR</v>
      </c>
      <c r="AJ306" t="str">
        <f t="shared" si="67"/>
        <v>OK</v>
      </c>
      <c r="AK306" t="str">
        <f t="shared" si="68"/>
        <v>OK</v>
      </c>
      <c r="AL306" t="str">
        <f t="shared" si="69"/>
        <v>OK</v>
      </c>
      <c r="AM306" t="str">
        <f t="shared" si="70"/>
        <v>OK</v>
      </c>
      <c r="AN306" t="str">
        <f t="shared" si="71"/>
        <v>OK</v>
      </c>
      <c r="AO306" t="str">
        <f t="shared" si="72"/>
        <v>OK</v>
      </c>
      <c r="AP306" t="str">
        <f t="shared" si="73"/>
        <v>OK</v>
      </c>
      <c r="AQ306" t="str">
        <f t="shared" si="74"/>
        <v>OK</v>
      </c>
    </row>
    <row r="307" spans="1:43" x14ac:dyDescent="0.3">
      <c r="A307" t="s">
        <v>1318</v>
      </c>
      <c r="B307" s="1">
        <v>45647</v>
      </c>
      <c r="C307" t="s">
        <v>1319</v>
      </c>
      <c r="D307" t="s">
        <v>25</v>
      </c>
      <c r="E307" t="s">
        <v>1320</v>
      </c>
      <c r="F307" t="s">
        <v>41</v>
      </c>
      <c r="G307" t="s">
        <v>1321</v>
      </c>
      <c r="H307">
        <v>3999</v>
      </c>
      <c r="I307">
        <v>1</v>
      </c>
      <c r="J307">
        <v>3999</v>
      </c>
      <c r="K307" t="s">
        <v>29</v>
      </c>
      <c r="L307">
        <v>0</v>
      </c>
      <c r="M307" t="s">
        <v>44</v>
      </c>
      <c r="N307" t="s">
        <v>66</v>
      </c>
      <c r="O307" t="s">
        <v>46</v>
      </c>
      <c r="P307" t="s">
        <v>46</v>
      </c>
      <c r="Q307" t="s">
        <v>46</v>
      </c>
      <c r="R307" s="1">
        <v>45669</v>
      </c>
      <c r="S307" t="s">
        <v>34</v>
      </c>
      <c r="T307" t="s">
        <v>47</v>
      </c>
      <c r="U307" t="s">
        <v>48</v>
      </c>
      <c r="V307" s="1">
        <v>45697</v>
      </c>
      <c r="W307" t="s">
        <v>49</v>
      </c>
      <c r="AB307" s="2">
        <f t="shared" si="60"/>
        <v>1</v>
      </c>
      <c r="AC307">
        <f t="shared" si="61"/>
        <v>0</v>
      </c>
      <c r="AD307">
        <f t="shared" si="62"/>
        <v>2</v>
      </c>
      <c r="AE307" t="str">
        <f t="shared" si="63"/>
        <v>OK</v>
      </c>
      <c r="AF307" t="str">
        <f t="shared" si="64"/>
        <v>OK</v>
      </c>
      <c r="AG307" t="str">
        <f t="shared" si="65"/>
        <v>OK</v>
      </c>
      <c r="AI307" t="str">
        <f t="shared" si="66"/>
        <v>ERROR</v>
      </c>
      <c r="AJ307" t="str">
        <f t="shared" si="67"/>
        <v>OK</v>
      </c>
      <c r="AK307" t="str">
        <f t="shared" si="68"/>
        <v>OK</v>
      </c>
      <c r="AL307" t="str">
        <f t="shared" si="69"/>
        <v>OK</v>
      </c>
      <c r="AM307" t="str">
        <f t="shared" si="70"/>
        <v>OK</v>
      </c>
      <c r="AN307" t="str">
        <f t="shared" si="71"/>
        <v>OK</v>
      </c>
      <c r="AO307" t="str">
        <f t="shared" si="72"/>
        <v>OK</v>
      </c>
      <c r="AP307" t="str">
        <f t="shared" si="73"/>
        <v>OK</v>
      </c>
      <c r="AQ307" t="str">
        <f t="shared" si="74"/>
        <v>OK</v>
      </c>
    </row>
    <row r="308" spans="1:43" x14ac:dyDescent="0.3">
      <c r="A308" t="s">
        <v>1322</v>
      </c>
      <c r="B308" s="1">
        <v>45647</v>
      </c>
      <c r="C308" t="s">
        <v>1323</v>
      </c>
      <c r="D308" t="s">
        <v>25</v>
      </c>
      <c r="E308" t="s">
        <v>1324</v>
      </c>
      <c r="F308" t="s">
        <v>54</v>
      </c>
      <c r="G308" t="s">
        <v>1325</v>
      </c>
      <c r="H308">
        <v>2399</v>
      </c>
      <c r="I308">
        <v>1</v>
      </c>
      <c r="J308">
        <v>2399</v>
      </c>
      <c r="K308" t="s">
        <v>996</v>
      </c>
      <c r="L308">
        <v>20</v>
      </c>
      <c r="M308" t="s">
        <v>30</v>
      </c>
      <c r="N308" t="s">
        <v>31</v>
      </c>
      <c r="O308" t="s">
        <v>91</v>
      </c>
      <c r="P308" t="s">
        <v>92</v>
      </c>
      <c r="Q308" t="s">
        <v>46</v>
      </c>
      <c r="R308" s="1">
        <v>45669</v>
      </c>
      <c r="S308" t="s">
        <v>34</v>
      </c>
      <c r="T308" t="s">
        <v>35</v>
      </c>
      <c r="U308" t="s">
        <v>29</v>
      </c>
      <c r="V308" s="1"/>
      <c r="W308" t="s">
        <v>36</v>
      </c>
      <c r="AB308" s="2">
        <f t="shared" si="60"/>
        <v>1</v>
      </c>
      <c r="AC308">
        <f t="shared" si="61"/>
        <v>0</v>
      </c>
      <c r="AD308">
        <f t="shared" si="62"/>
        <v>2</v>
      </c>
      <c r="AE308" t="str">
        <f t="shared" si="63"/>
        <v>OK</v>
      </c>
      <c r="AF308" t="str">
        <f t="shared" si="64"/>
        <v>OK</v>
      </c>
      <c r="AG308" t="str">
        <f t="shared" si="65"/>
        <v>OK</v>
      </c>
      <c r="AI308" t="str">
        <f t="shared" si="66"/>
        <v>ERROR</v>
      </c>
      <c r="AJ308" t="str">
        <f t="shared" si="67"/>
        <v>OK</v>
      </c>
      <c r="AK308" t="str">
        <f t="shared" si="68"/>
        <v>OK</v>
      </c>
      <c r="AL308" t="str">
        <f t="shared" si="69"/>
        <v>OK</v>
      </c>
      <c r="AM308" t="str">
        <f t="shared" si="70"/>
        <v>ERROR</v>
      </c>
      <c r="AN308" t="str">
        <f t="shared" si="71"/>
        <v>OK</v>
      </c>
      <c r="AO308" t="str">
        <f t="shared" si="72"/>
        <v>OK</v>
      </c>
      <c r="AP308" t="str">
        <f t="shared" si="73"/>
        <v>OK</v>
      </c>
      <c r="AQ308" t="str">
        <f t="shared" si="74"/>
        <v>OK</v>
      </c>
    </row>
    <row r="309" spans="1:43" x14ac:dyDescent="0.3">
      <c r="A309" t="s">
        <v>1326</v>
      </c>
      <c r="B309" s="1">
        <v>45647</v>
      </c>
      <c r="C309" t="s">
        <v>1327</v>
      </c>
      <c r="D309" t="s">
        <v>25</v>
      </c>
      <c r="E309" t="s">
        <v>1328</v>
      </c>
      <c r="F309" t="s">
        <v>62</v>
      </c>
      <c r="G309" t="s">
        <v>1329</v>
      </c>
      <c r="H309">
        <v>7299</v>
      </c>
      <c r="I309">
        <v>1</v>
      </c>
      <c r="J309">
        <v>7299</v>
      </c>
      <c r="K309" t="s">
        <v>29</v>
      </c>
      <c r="L309">
        <v>0</v>
      </c>
      <c r="M309" t="s">
        <v>56</v>
      </c>
      <c r="N309" t="s">
        <v>45</v>
      </c>
      <c r="O309" t="s">
        <v>67</v>
      </c>
      <c r="P309" t="s">
        <v>68</v>
      </c>
      <c r="Q309" t="s">
        <v>57</v>
      </c>
      <c r="R309" s="1">
        <v>45670</v>
      </c>
      <c r="S309" t="s">
        <v>34</v>
      </c>
      <c r="T309" t="s">
        <v>47</v>
      </c>
      <c r="U309" t="s">
        <v>80</v>
      </c>
      <c r="V309" s="1">
        <v>45698</v>
      </c>
      <c r="W309" t="s">
        <v>49</v>
      </c>
      <c r="AB309" s="2">
        <f t="shared" si="60"/>
        <v>1</v>
      </c>
      <c r="AC309">
        <f t="shared" si="61"/>
        <v>0</v>
      </c>
      <c r="AD309">
        <f t="shared" si="62"/>
        <v>2</v>
      </c>
      <c r="AE309" t="str">
        <f t="shared" si="63"/>
        <v>OK</v>
      </c>
      <c r="AF309" t="str">
        <f t="shared" si="64"/>
        <v>OK</v>
      </c>
      <c r="AG309" t="str">
        <f t="shared" si="65"/>
        <v>OK</v>
      </c>
      <c r="AI309" t="str">
        <f t="shared" si="66"/>
        <v>ERROR</v>
      </c>
      <c r="AJ309" t="str">
        <f t="shared" si="67"/>
        <v>OK</v>
      </c>
      <c r="AK309" t="str">
        <f t="shared" si="68"/>
        <v>OK</v>
      </c>
      <c r="AL309" t="str">
        <f t="shared" si="69"/>
        <v>OK</v>
      </c>
      <c r="AM309" t="str">
        <f t="shared" si="70"/>
        <v>OK</v>
      </c>
      <c r="AN309" t="str">
        <f t="shared" si="71"/>
        <v>OK</v>
      </c>
      <c r="AO309" t="str">
        <f t="shared" si="72"/>
        <v>OK</v>
      </c>
      <c r="AP309" t="str">
        <f t="shared" si="73"/>
        <v>OK</v>
      </c>
      <c r="AQ309" t="str">
        <f t="shared" si="74"/>
        <v>OK</v>
      </c>
    </row>
    <row r="310" spans="1:43" x14ac:dyDescent="0.3">
      <c r="A310" t="s">
        <v>1330</v>
      </c>
      <c r="B310" s="1">
        <v>45647</v>
      </c>
      <c r="C310" t="s">
        <v>1331</v>
      </c>
      <c r="D310" t="s">
        <v>39</v>
      </c>
      <c r="E310" t="s">
        <v>1332</v>
      </c>
      <c r="F310" t="s">
        <v>72</v>
      </c>
      <c r="G310" t="s">
        <v>1333</v>
      </c>
      <c r="H310">
        <v>899</v>
      </c>
      <c r="I310">
        <v>1</v>
      </c>
      <c r="J310">
        <v>899</v>
      </c>
      <c r="K310" t="s">
        <v>29</v>
      </c>
      <c r="L310">
        <v>0</v>
      </c>
      <c r="M310" t="s">
        <v>112</v>
      </c>
      <c r="N310" t="s">
        <v>66</v>
      </c>
      <c r="O310" t="s">
        <v>78</v>
      </c>
      <c r="P310" t="s">
        <v>79</v>
      </c>
      <c r="Q310" t="s">
        <v>57</v>
      </c>
      <c r="R310" s="1">
        <v>45669</v>
      </c>
      <c r="S310" t="s">
        <v>34</v>
      </c>
      <c r="T310" t="s">
        <v>47</v>
      </c>
      <c r="U310" t="s">
        <v>69</v>
      </c>
      <c r="V310" s="1">
        <v>45696</v>
      </c>
      <c r="W310" t="s">
        <v>49</v>
      </c>
      <c r="AB310" s="2">
        <f t="shared" si="60"/>
        <v>1</v>
      </c>
      <c r="AC310">
        <f t="shared" si="61"/>
        <v>0</v>
      </c>
      <c r="AD310">
        <f t="shared" si="62"/>
        <v>2</v>
      </c>
      <c r="AE310" t="str">
        <f t="shared" si="63"/>
        <v>OK</v>
      </c>
      <c r="AF310" t="str">
        <f t="shared" si="64"/>
        <v>OK</v>
      </c>
      <c r="AG310" t="str">
        <f t="shared" si="65"/>
        <v>OK</v>
      </c>
      <c r="AI310" t="str">
        <f t="shared" si="66"/>
        <v>ERROR</v>
      </c>
      <c r="AJ310" t="str">
        <f t="shared" si="67"/>
        <v>OK</v>
      </c>
      <c r="AK310" t="str">
        <f t="shared" si="68"/>
        <v>OK</v>
      </c>
      <c r="AL310" t="str">
        <f t="shared" si="69"/>
        <v>OK</v>
      </c>
      <c r="AM310" t="str">
        <f t="shared" si="70"/>
        <v>OK</v>
      </c>
      <c r="AN310" t="str">
        <f t="shared" si="71"/>
        <v>OK</v>
      </c>
      <c r="AO310" t="str">
        <f t="shared" si="72"/>
        <v>OK</v>
      </c>
      <c r="AP310" t="str">
        <f t="shared" si="73"/>
        <v>OK</v>
      </c>
      <c r="AQ310" t="str">
        <f t="shared" si="74"/>
        <v>OK</v>
      </c>
    </row>
    <row r="311" spans="1:43" x14ac:dyDescent="0.3">
      <c r="A311" t="s">
        <v>1334</v>
      </c>
      <c r="B311" s="1">
        <v>45648</v>
      </c>
      <c r="C311" t="s">
        <v>1335</v>
      </c>
      <c r="D311" t="s">
        <v>25</v>
      </c>
      <c r="E311" t="s">
        <v>1336</v>
      </c>
      <c r="F311" t="s">
        <v>27</v>
      </c>
      <c r="G311" t="s">
        <v>1337</v>
      </c>
      <c r="H311">
        <v>1999</v>
      </c>
      <c r="I311">
        <v>1</v>
      </c>
      <c r="J311">
        <v>1999</v>
      </c>
      <c r="K311" t="s">
        <v>996</v>
      </c>
      <c r="L311">
        <v>20</v>
      </c>
      <c r="M311" t="s">
        <v>65</v>
      </c>
      <c r="N311" t="s">
        <v>31</v>
      </c>
      <c r="O311" t="s">
        <v>85</v>
      </c>
      <c r="P311" t="s">
        <v>33</v>
      </c>
      <c r="Q311" t="s">
        <v>32</v>
      </c>
      <c r="R311" s="1">
        <v>45670</v>
      </c>
      <c r="S311" t="s">
        <v>34</v>
      </c>
      <c r="T311" t="s">
        <v>35</v>
      </c>
      <c r="U311" t="s">
        <v>29</v>
      </c>
      <c r="V311" s="1"/>
      <c r="W311" t="s">
        <v>36</v>
      </c>
      <c r="AB311" s="2">
        <f t="shared" si="60"/>
        <v>1</v>
      </c>
      <c r="AC311">
        <f t="shared" si="61"/>
        <v>0</v>
      </c>
      <c r="AD311">
        <f t="shared" si="62"/>
        <v>2</v>
      </c>
      <c r="AE311" t="str">
        <f t="shared" si="63"/>
        <v>OK</v>
      </c>
      <c r="AF311" t="str">
        <f t="shared" si="64"/>
        <v>OK</v>
      </c>
      <c r="AG311" t="str">
        <f t="shared" si="65"/>
        <v>OK</v>
      </c>
      <c r="AI311" t="str">
        <f t="shared" si="66"/>
        <v>ERROR</v>
      </c>
      <c r="AJ311" t="str">
        <f t="shared" si="67"/>
        <v>OK</v>
      </c>
      <c r="AK311" t="str">
        <f t="shared" si="68"/>
        <v>OK</v>
      </c>
      <c r="AL311" t="str">
        <f t="shared" si="69"/>
        <v>OK</v>
      </c>
      <c r="AM311" t="str">
        <f t="shared" si="70"/>
        <v>ERROR</v>
      </c>
      <c r="AN311" t="str">
        <f t="shared" si="71"/>
        <v>OK</v>
      </c>
      <c r="AO311" t="str">
        <f t="shared" si="72"/>
        <v>OK</v>
      </c>
      <c r="AP311" t="str">
        <f t="shared" si="73"/>
        <v>OK</v>
      </c>
      <c r="AQ311" t="str">
        <f t="shared" si="74"/>
        <v>OK</v>
      </c>
    </row>
    <row r="312" spans="1:43" x14ac:dyDescent="0.3">
      <c r="A312" t="s">
        <v>1338</v>
      </c>
      <c r="B312" s="1">
        <v>45648</v>
      </c>
      <c r="C312" t="s">
        <v>1339</v>
      </c>
      <c r="D312" t="s">
        <v>25</v>
      </c>
      <c r="E312" t="s">
        <v>1340</v>
      </c>
      <c r="F312" t="s">
        <v>41</v>
      </c>
      <c r="G312" t="s">
        <v>1341</v>
      </c>
      <c r="H312">
        <v>4699</v>
      </c>
      <c r="I312">
        <v>1</v>
      </c>
      <c r="J312">
        <v>4699</v>
      </c>
      <c r="K312" t="s">
        <v>29</v>
      </c>
      <c r="L312">
        <v>0</v>
      </c>
      <c r="M312" t="s">
        <v>44</v>
      </c>
      <c r="N312" t="s">
        <v>45</v>
      </c>
      <c r="O312" t="s">
        <v>97</v>
      </c>
      <c r="P312" t="s">
        <v>98</v>
      </c>
      <c r="Q312" t="s">
        <v>32</v>
      </c>
      <c r="R312" s="1">
        <v>45671</v>
      </c>
      <c r="S312" t="s">
        <v>34</v>
      </c>
      <c r="T312" t="s">
        <v>47</v>
      </c>
      <c r="U312" t="s">
        <v>48</v>
      </c>
      <c r="V312" s="1">
        <v>45699</v>
      </c>
      <c r="W312" t="s">
        <v>49</v>
      </c>
      <c r="AB312" s="2">
        <f>COUNTIF(A$2:A$347,A312)</f>
        <v>1</v>
      </c>
      <c r="AC312">
        <f t="shared" si="61"/>
        <v>0</v>
      </c>
      <c r="AD312">
        <f t="shared" si="62"/>
        <v>2</v>
      </c>
      <c r="AE312" t="str">
        <f t="shared" si="63"/>
        <v>OK</v>
      </c>
      <c r="AF312" t="str">
        <f t="shared" si="64"/>
        <v>OK</v>
      </c>
      <c r="AG312" t="str">
        <f t="shared" si="65"/>
        <v>OK</v>
      </c>
      <c r="AI312" t="str">
        <f t="shared" si="66"/>
        <v>ERROR</v>
      </c>
      <c r="AJ312" t="str">
        <f t="shared" si="67"/>
        <v>OK</v>
      </c>
      <c r="AK312" t="str">
        <f t="shared" si="68"/>
        <v>OK</v>
      </c>
      <c r="AL312" t="str">
        <f t="shared" si="69"/>
        <v>OK</v>
      </c>
      <c r="AM312" t="str">
        <f t="shared" si="70"/>
        <v>OK</v>
      </c>
      <c r="AN312" t="str">
        <f t="shared" si="71"/>
        <v>OK</v>
      </c>
      <c r="AO312" t="str">
        <f t="shared" si="72"/>
        <v>OK</v>
      </c>
      <c r="AP312" t="str">
        <f t="shared" si="73"/>
        <v>OK</v>
      </c>
      <c r="AQ312" t="str">
        <f t="shared" si="74"/>
        <v>OK</v>
      </c>
    </row>
    <row r="313" spans="1:43" x14ac:dyDescent="0.3">
      <c r="A313" t="s">
        <v>1342</v>
      </c>
      <c r="B313" s="1">
        <v>45648</v>
      </c>
      <c r="C313" t="s">
        <v>1343</v>
      </c>
      <c r="D313" t="s">
        <v>25</v>
      </c>
      <c r="E313" t="s">
        <v>1344</v>
      </c>
      <c r="F313" t="s">
        <v>54</v>
      </c>
      <c r="G313" t="s">
        <v>1345</v>
      </c>
      <c r="H313">
        <v>2299</v>
      </c>
      <c r="I313">
        <v>1</v>
      </c>
      <c r="J313">
        <v>2299</v>
      </c>
      <c r="K313" t="s">
        <v>29</v>
      </c>
      <c r="L313">
        <v>0</v>
      </c>
      <c r="M313" t="s">
        <v>30</v>
      </c>
      <c r="N313" t="s">
        <v>66</v>
      </c>
      <c r="O313" t="s">
        <v>103</v>
      </c>
      <c r="P313" t="s">
        <v>104</v>
      </c>
      <c r="Q313" t="s">
        <v>46</v>
      </c>
      <c r="R313" s="1">
        <v>45671</v>
      </c>
      <c r="S313" t="s">
        <v>34</v>
      </c>
      <c r="T313" t="s">
        <v>35</v>
      </c>
      <c r="U313" t="s">
        <v>29</v>
      </c>
      <c r="V313" s="1"/>
      <c r="W313" t="s">
        <v>36</v>
      </c>
      <c r="AB313" s="2">
        <f t="shared" si="60"/>
        <v>1</v>
      </c>
      <c r="AC313">
        <f t="shared" si="61"/>
        <v>0</v>
      </c>
      <c r="AD313">
        <f t="shared" si="62"/>
        <v>2</v>
      </c>
      <c r="AE313" t="str">
        <f t="shared" si="63"/>
        <v>OK</v>
      </c>
      <c r="AF313" t="str">
        <f t="shared" si="64"/>
        <v>OK</v>
      </c>
      <c r="AG313" t="str">
        <f t="shared" si="65"/>
        <v>OK</v>
      </c>
      <c r="AI313" t="str">
        <f t="shared" si="66"/>
        <v>ERROR</v>
      </c>
      <c r="AJ313" t="str">
        <f t="shared" si="67"/>
        <v>OK</v>
      </c>
      <c r="AK313" t="str">
        <f t="shared" si="68"/>
        <v>OK</v>
      </c>
      <c r="AL313" t="str">
        <f t="shared" si="69"/>
        <v>OK</v>
      </c>
      <c r="AM313" t="str">
        <f t="shared" si="70"/>
        <v>ERROR</v>
      </c>
      <c r="AN313" t="str">
        <f t="shared" si="71"/>
        <v>OK</v>
      </c>
      <c r="AO313" t="str">
        <f t="shared" si="72"/>
        <v>OK</v>
      </c>
      <c r="AP313" t="str">
        <f t="shared" si="73"/>
        <v>OK</v>
      </c>
      <c r="AQ313" t="str">
        <f t="shared" si="74"/>
        <v>OK</v>
      </c>
    </row>
    <row r="314" spans="1:43" x14ac:dyDescent="0.3">
      <c r="A314" t="s">
        <v>1346</v>
      </c>
      <c r="B314" s="1">
        <v>45648</v>
      </c>
      <c r="C314" t="s">
        <v>1347</v>
      </c>
      <c r="D314" t="s">
        <v>25</v>
      </c>
      <c r="E314" t="s">
        <v>1348</v>
      </c>
      <c r="F314" t="s">
        <v>62</v>
      </c>
      <c r="G314" t="s">
        <v>1349</v>
      </c>
      <c r="H314">
        <v>5399</v>
      </c>
      <c r="I314">
        <v>1</v>
      </c>
      <c r="J314">
        <v>5399</v>
      </c>
      <c r="K314" t="s">
        <v>996</v>
      </c>
      <c r="L314">
        <v>20</v>
      </c>
      <c r="M314" t="s">
        <v>56</v>
      </c>
      <c r="N314" t="s">
        <v>31</v>
      </c>
      <c r="O314" t="s">
        <v>113</v>
      </c>
      <c r="P314" t="s">
        <v>114</v>
      </c>
      <c r="Q314" t="s">
        <v>46</v>
      </c>
      <c r="R314" s="1">
        <v>45672</v>
      </c>
      <c r="S314" t="s">
        <v>34</v>
      </c>
      <c r="T314" t="s">
        <v>47</v>
      </c>
      <c r="U314" t="s">
        <v>105</v>
      </c>
      <c r="V314" s="1">
        <v>45700</v>
      </c>
      <c r="W314" t="s">
        <v>49</v>
      </c>
      <c r="AB314" s="2">
        <f t="shared" si="60"/>
        <v>1</v>
      </c>
      <c r="AC314">
        <f t="shared" si="61"/>
        <v>0</v>
      </c>
      <c r="AD314">
        <f t="shared" si="62"/>
        <v>2</v>
      </c>
      <c r="AE314" t="str">
        <f t="shared" si="63"/>
        <v>OK</v>
      </c>
      <c r="AF314" t="str">
        <f t="shared" si="64"/>
        <v>OK</v>
      </c>
      <c r="AG314" t="str">
        <f t="shared" si="65"/>
        <v>OK</v>
      </c>
      <c r="AI314" t="str">
        <f t="shared" si="66"/>
        <v>ERROR</v>
      </c>
      <c r="AJ314" t="str">
        <f t="shared" si="67"/>
        <v>OK</v>
      </c>
      <c r="AK314" t="str">
        <f t="shared" si="68"/>
        <v>OK</v>
      </c>
      <c r="AL314" t="str">
        <f t="shared" si="69"/>
        <v>OK</v>
      </c>
      <c r="AM314" t="str">
        <f t="shared" si="70"/>
        <v>OK</v>
      </c>
      <c r="AN314" t="str">
        <f t="shared" si="71"/>
        <v>OK</v>
      </c>
      <c r="AO314" t="str">
        <f t="shared" si="72"/>
        <v>OK</v>
      </c>
      <c r="AP314" t="str">
        <f t="shared" si="73"/>
        <v>OK</v>
      </c>
      <c r="AQ314" t="str">
        <f t="shared" si="74"/>
        <v>OK</v>
      </c>
    </row>
    <row r="315" spans="1:43" x14ac:dyDescent="0.3">
      <c r="A315" t="s">
        <v>1350</v>
      </c>
      <c r="B315" s="1">
        <v>45649</v>
      </c>
      <c r="C315" t="s">
        <v>1351</v>
      </c>
      <c r="D315" t="s">
        <v>39</v>
      </c>
      <c r="E315" t="s">
        <v>1352</v>
      </c>
      <c r="F315" t="s">
        <v>72</v>
      </c>
      <c r="G315" t="s">
        <v>1353</v>
      </c>
      <c r="H315">
        <v>1199</v>
      </c>
      <c r="I315">
        <v>1</v>
      </c>
      <c r="J315">
        <v>1199</v>
      </c>
      <c r="K315" t="s">
        <v>29</v>
      </c>
      <c r="L315">
        <v>0</v>
      </c>
      <c r="M315" t="s">
        <v>112</v>
      </c>
      <c r="N315" t="s">
        <v>45</v>
      </c>
      <c r="O315" t="s">
        <v>57</v>
      </c>
      <c r="P315" t="s">
        <v>58</v>
      </c>
      <c r="Q315" t="s">
        <v>57</v>
      </c>
      <c r="R315" s="1">
        <v>45671</v>
      </c>
      <c r="S315" t="s">
        <v>34</v>
      </c>
      <c r="T315" t="s">
        <v>35</v>
      </c>
      <c r="U315" t="s">
        <v>29</v>
      </c>
      <c r="V315" s="1"/>
      <c r="W315" t="s">
        <v>36</v>
      </c>
      <c r="AB315" s="2">
        <f t="shared" si="60"/>
        <v>1</v>
      </c>
      <c r="AC315">
        <f t="shared" si="61"/>
        <v>0</v>
      </c>
      <c r="AD315">
        <f t="shared" si="62"/>
        <v>2</v>
      </c>
      <c r="AE315" t="str">
        <f t="shared" si="63"/>
        <v>OK</v>
      </c>
      <c r="AF315" t="str">
        <f t="shared" si="64"/>
        <v>OK</v>
      </c>
      <c r="AG315" t="str">
        <f t="shared" si="65"/>
        <v>OK</v>
      </c>
      <c r="AI315" t="str">
        <f t="shared" si="66"/>
        <v>ERROR</v>
      </c>
      <c r="AJ315" t="str">
        <f t="shared" si="67"/>
        <v>OK</v>
      </c>
      <c r="AK315" t="str">
        <f t="shared" si="68"/>
        <v>OK</v>
      </c>
      <c r="AL315" t="str">
        <f t="shared" si="69"/>
        <v>OK</v>
      </c>
      <c r="AM315" t="str">
        <f t="shared" si="70"/>
        <v>ERROR</v>
      </c>
      <c r="AN315" t="str">
        <f t="shared" si="71"/>
        <v>OK</v>
      </c>
      <c r="AO315" t="str">
        <f t="shared" si="72"/>
        <v>OK</v>
      </c>
      <c r="AP315" t="str">
        <f t="shared" si="73"/>
        <v>OK</v>
      </c>
      <c r="AQ315" t="str">
        <f t="shared" si="74"/>
        <v>OK</v>
      </c>
    </row>
    <row r="316" spans="1:43" x14ac:dyDescent="0.3">
      <c r="A316" t="s">
        <v>1354</v>
      </c>
      <c r="B316" s="1">
        <v>45649</v>
      </c>
      <c r="C316" t="s">
        <v>1355</v>
      </c>
      <c r="D316" t="s">
        <v>25</v>
      </c>
      <c r="E316" t="s">
        <v>1356</v>
      </c>
      <c r="F316" t="s">
        <v>27</v>
      </c>
      <c r="G316" t="s">
        <v>1357</v>
      </c>
      <c r="H316">
        <v>2199</v>
      </c>
      <c r="I316">
        <v>1</v>
      </c>
      <c r="J316">
        <v>2199</v>
      </c>
      <c r="K316" t="s">
        <v>29</v>
      </c>
      <c r="L316">
        <v>0</v>
      </c>
      <c r="M316" t="s">
        <v>65</v>
      </c>
      <c r="N316" t="s">
        <v>66</v>
      </c>
      <c r="O316" t="s">
        <v>32</v>
      </c>
      <c r="P316" t="s">
        <v>33</v>
      </c>
      <c r="Q316" t="s">
        <v>32</v>
      </c>
      <c r="R316" s="1">
        <v>45672</v>
      </c>
      <c r="S316" t="s">
        <v>34</v>
      </c>
      <c r="T316" t="s">
        <v>47</v>
      </c>
      <c r="U316" t="s">
        <v>139</v>
      </c>
      <c r="V316" s="1">
        <v>45699</v>
      </c>
      <c r="W316" t="s">
        <v>49</v>
      </c>
      <c r="AB316" s="2">
        <f t="shared" si="60"/>
        <v>1</v>
      </c>
      <c r="AC316">
        <f t="shared" si="61"/>
        <v>0</v>
      </c>
      <c r="AD316">
        <f t="shared" si="62"/>
        <v>2</v>
      </c>
      <c r="AE316" t="str">
        <f t="shared" si="63"/>
        <v>OK</v>
      </c>
      <c r="AF316" t="str">
        <f t="shared" si="64"/>
        <v>OK</v>
      </c>
      <c r="AG316" t="str">
        <f t="shared" si="65"/>
        <v>OK</v>
      </c>
      <c r="AI316" t="str">
        <f t="shared" si="66"/>
        <v>ERROR</v>
      </c>
      <c r="AJ316" t="str">
        <f t="shared" si="67"/>
        <v>OK</v>
      </c>
      <c r="AK316" t="str">
        <f t="shared" si="68"/>
        <v>OK</v>
      </c>
      <c r="AL316" t="str">
        <f t="shared" si="69"/>
        <v>OK</v>
      </c>
      <c r="AM316" t="str">
        <f t="shared" si="70"/>
        <v>OK</v>
      </c>
      <c r="AN316" t="str">
        <f t="shared" si="71"/>
        <v>OK</v>
      </c>
      <c r="AO316" t="str">
        <f t="shared" si="72"/>
        <v>OK</v>
      </c>
      <c r="AP316" t="str">
        <f t="shared" si="73"/>
        <v>OK</v>
      </c>
      <c r="AQ316" t="str">
        <f t="shared" si="74"/>
        <v>OK</v>
      </c>
    </row>
    <row r="317" spans="1:43" x14ac:dyDescent="0.3">
      <c r="A317" t="s">
        <v>1358</v>
      </c>
      <c r="B317" s="1">
        <v>45649</v>
      </c>
      <c r="C317" t="s">
        <v>1359</v>
      </c>
      <c r="D317" t="s">
        <v>25</v>
      </c>
      <c r="E317" t="s">
        <v>1360</v>
      </c>
      <c r="F317" t="s">
        <v>41</v>
      </c>
      <c r="G317" t="s">
        <v>1361</v>
      </c>
      <c r="H317">
        <v>3799</v>
      </c>
      <c r="I317">
        <v>1</v>
      </c>
      <c r="J317">
        <v>3799</v>
      </c>
      <c r="K317" t="s">
        <v>996</v>
      </c>
      <c r="L317">
        <v>20</v>
      </c>
      <c r="M317" t="s">
        <v>44</v>
      </c>
      <c r="N317" t="s">
        <v>31</v>
      </c>
      <c r="O317" t="s">
        <v>46</v>
      </c>
      <c r="P317" t="s">
        <v>46</v>
      </c>
      <c r="Q317" t="s">
        <v>46</v>
      </c>
      <c r="R317" s="1">
        <v>45673</v>
      </c>
      <c r="S317" t="s">
        <v>34</v>
      </c>
      <c r="T317" t="s">
        <v>47</v>
      </c>
      <c r="U317" t="s">
        <v>48</v>
      </c>
      <c r="V317" s="1">
        <v>45701</v>
      </c>
      <c r="W317" t="s">
        <v>49</v>
      </c>
      <c r="AB317" s="2">
        <f t="shared" si="60"/>
        <v>1</v>
      </c>
      <c r="AC317">
        <f t="shared" si="61"/>
        <v>0</v>
      </c>
      <c r="AD317">
        <f t="shared" si="62"/>
        <v>2</v>
      </c>
      <c r="AE317" t="str">
        <f t="shared" si="63"/>
        <v>OK</v>
      </c>
      <c r="AF317" t="str">
        <f t="shared" si="64"/>
        <v>OK</v>
      </c>
      <c r="AG317" t="str">
        <f t="shared" si="65"/>
        <v>OK</v>
      </c>
      <c r="AI317" t="str">
        <f t="shared" si="66"/>
        <v>ERROR</v>
      </c>
      <c r="AJ317" t="str">
        <f t="shared" si="67"/>
        <v>OK</v>
      </c>
      <c r="AK317" t="str">
        <f t="shared" si="68"/>
        <v>OK</v>
      </c>
      <c r="AL317" t="str">
        <f t="shared" si="69"/>
        <v>OK</v>
      </c>
      <c r="AM317" t="str">
        <f t="shared" si="70"/>
        <v>OK</v>
      </c>
      <c r="AN317" t="str">
        <f t="shared" si="71"/>
        <v>OK</v>
      </c>
      <c r="AO317" t="str">
        <f t="shared" si="72"/>
        <v>OK</v>
      </c>
      <c r="AP317" t="str">
        <f t="shared" si="73"/>
        <v>OK</v>
      </c>
      <c r="AQ317" t="str">
        <f t="shared" si="74"/>
        <v>OK</v>
      </c>
    </row>
    <row r="318" spans="1:43" x14ac:dyDescent="0.3">
      <c r="A318" t="s">
        <v>1362</v>
      </c>
      <c r="B318" s="1">
        <v>45649</v>
      </c>
      <c r="C318" t="s">
        <v>1363</v>
      </c>
      <c r="D318" t="s">
        <v>25</v>
      </c>
      <c r="E318" t="s">
        <v>1364</v>
      </c>
      <c r="F318" t="s">
        <v>54</v>
      </c>
      <c r="G318" t="s">
        <v>1365</v>
      </c>
      <c r="H318">
        <v>2499</v>
      </c>
      <c r="I318">
        <v>1</v>
      </c>
      <c r="J318">
        <v>2499</v>
      </c>
      <c r="K318" t="s">
        <v>29</v>
      </c>
      <c r="L318">
        <v>0</v>
      </c>
      <c r="M318" t="s">
        <v>30</v>
      </c>
      <c r="N318" t="s">
        <v>45</v>
      </c>
      <c r="O318" t="s">
        <v>119</v>
      </c>
      <c r="P318" t="s">
        <v>120</v>
      </c>
      <c r="Q318" t="s">
        <v>46</v>
      </c>
      <c r="R318" s="1">
        <v>45673</v>
      </c>
      <c r="S318" t="s">
        <v>34</v>
      </c>
      <c r="T318" t="s">
        <v>35</v>
      </c>
      <c r="U318" t="s">
        <v>29</v>
      </c>
      <c r="V318" s="1"/>
      <c r="W318" t="s">
        <v>36</v>
      </c>
      <c r="AB318" s="2">
        <f t="shared" si="60"/>
        <v>1</v>
      </c>
      <c r="AC318">
        <f t="shared" si="61"/>
        <v>0</v>
      </c>
      <c r="AD318">
        <f t="shared" si="62"/>
        <v>2</v>
      </c>
      <c r="AE318" t="str">
        <f t="shared" si="63"/>
        <v>OK</v>
      </c>
      <c r="AF318" t="str">
        <f t="shared" si="64"/>
        <v>OK</v>
      </c>
      <c r="AG318" t="str">
        <f t="shared" si="65"/>
        <v>OK</v>
      </c>
      <c r="AI318" t="str">
        <f t="shared" si="66"/>
        <v>ERROR</v>
      </c>
      <c r="AJ318" t="str">
        <f t="shared" si="67"/>
        <v>OK</v>
      </c>
      <c r="AK318" t="str">
        <f t="shared" si="68"/>
        <v>OK</v>
      </c>
      <c r="AL318" t="str">
        <f t="shared" si="69"/>
        <v>OK</v>
      </c>
      <c r="AM318" t="str">
        <f t="shared" si="70"/>
        <v>ERROR</v>
      </c>
      <c r="AN318" t="str">
        <f t="shared" si="71"/>
        <v>OK</v>
      </c>
      <c r="AO318" t="str">
        <f t="shared" si="72"/>
        <v>OK</v>
      </c>
      <c r="AP318" t="str">
        <f t="shared" si="73"/>
        <v>OK</v>
      </c>
      <c r="AQ318" t="str">
        <f t="shared" si="74"/>
        <v>OK</v>
      </c>
    </row>
    <row r="319" spans="1:43" x14ac:dyDescent="0.3">
      <c r="A319" t="s">
        <v>1366</v>
      </c>
      <c r="B319" s="1">
        <v>45650</v>
      </c>
      <c r="C319" t="s">
        <v>1367</v>
      </c>
      <c r="D319" t="s">
        <v>25</v>
      </c>
      <c r="E319" t="s">
        <v>1368</v>
      </c>
      <c r="F319" t="s">
        <v>62</v>
      </c>
      <c r="G319" t="s">
        <v>1369</v>
      </c>
      <c r="H319">
        <v>6499</v>
      </c>
      <c r="I319">
        <v>1</v>
      </c>
      <c r="J319">
        <v>6499</v>
      </c>
      <c r="K319" t="s">
        <v>29</v>
      </c>
      <c r="L319">
        <v>0</v>
      </c>
      <c r="M319" t="s">
        <v>56</v>
      </c>
      <c r="N319" t="s">
        <v>66</v>
      </c>
      <c r="O319" t="s">
        <v>138</v>
      </c>
      <c r="P319" t="s">
        <v>114</v>
      </c>
      <c r="Q319" t="s">
        <v>46</v>
      </c>
      <c r="R319" s="1">
        <v>45674</v>
      </c>
      <c r="S319" t="s">
        <v>34</v>
      </c>
      <c r="T319" t="s">
        <v>47</v>
      </c>
      <c r="U319" t="s">
        <v>80</v>
      </c>
      <c r="V319" s="1">
        <v>45702</v>
      </c>
      <c r="W319" t="s">
        <v>49</v>
      </c>
      <c r="AB319" s="2">
        <f t="shared" si="60"/>
        <v>1</v>
      </c>
      <c r="AC319">
        <f t="shared" si="61"/>
        <v>0</v>
      </c>
      <c r="AD319">
        <f t="shared" si="62"/>
        <v>2</v>
      </c>
      <c r="AE319" t="str">
        <f t="shared" si="63"/>
        <v>OK</v>
      </c>
      <c r="AF319" t="str">
        <f t="shared" si="64"/>
        <v>OK</v>
      </c>
      <c r="AG319" t="str">
        <f t="shared" si="65"/>
        <v>OK</v>
      </c>
      <c r="AI319" t="str">
        <f t="shared" si="66"/>
        <v>ERROR</v>
      </c>
      <c r="AJ319" t="str">
        <f t="shared" si="67"/>
        <v>OK</v>
      </c>
      <c r="AK319" t="str">
        <f t="shared" si="68"/>
        <v>OK</v>
      </c>
      <c r="AL319" t="str">
        <f t="shared" si="69"/>
        <v>OK</v>
      </c>
      <c r="AM319" t="str">
        <f t="shared" si="70"/>
        <v>OK</v>
      </c>
      <c r="AN319" t="str">
        <f t="shared" si="71"/>
        <v>OK</v>
      </c>
      <c r="AO319" t="str">
        <f t="shared" si="72"/>
        <v>OK</v>
      </c>
      <c r="AP319" t="str">
        <f t="shared" si="73"/>
        <v>OK</v>
      </c>
      <c r="AQ319" t="str">
        <f t="shared" si="74"/>
        <v>OK</v>
      </c>
    </row>
    <row r="320" spans="1:43" x14ac:dyDescent="0.3">
      <c r="A320" t="s">
        <v>1370</v>
      </c>
      <c r="B320" s="1">
        <v>45650</v>
      </c>
      <c r="C320" t="s">
        <v>1371</v>
      </c>
      <c r="D320" t="s">
        <v>39</v>
      </c>
      <c r="E320" t="s">
        <v>1372</v>
      </c>
      <c r="F320" t="s">
        <v>72</v>
      </c>
      <c r="G320" t="s">
        <v>1373</v>
      </c>
      <c r="H320">
        <v>499</v>
      </c>
      <c r="I320">
        <v>3</v>
      </c>
      <c r="J320">
        <v>1497</v>
      </c>
      <c r="K320" t="s">
        <v>996</v>
      </c>
      <c r="L320">
        <v>20</v>
      </c>
      <c r="M320" t="s">
        <v>112</v>
      </c>
      <c r="N320" t="s">
        <v>31</v>
      </c>
      <c r="O320" t="s">
        <v>144</v>
      </c>
      <c r="P320" t="s">
        <v>145</v>
      </c>
      <c r="Q320" t="s">
        <v>46</v>
      </c>
      <c r="R320" s="1">
        <v>45673</v>
      </c>
      <c r="S320" t="s">
        <v>34</v>
      </c>
      <c r="T320" t="s">
        <v>35</v>
      </c>
      <c r="U320" t="s">
        <v>29</v>
      </c>
      <c r="V320" s="1"/>
      <c r="W320" t="s">
        <v>36</v>
      </c>
      <c r="AB320" s="2">
        <f t="shared" si="60"/>
        <v>1</v>
      </c>
      <c r="AC320">
        <f t="shared" si="61"/>
        <v>0</v>
      </c>
      <c r="AD320">
        <f t="shared" si="62"/>
        <v>2</v>
      </c>
      <c r="AE320" t="str">
        <f t="shared" si="63"/>
        <v>OK</v>
      </c>
      <c r="AF320" t="str">
        <f t="shared" si="64"/>
        <v>OK</v>
      </c>
      <c r="AG320" t="str">
        <f t="shared" si="65"/>
        <v>OK</v>
      </c>
      <c r="AI320" t="str">
        <f t="shared" si="66"/>
        <v>ERROR</v>
      </c>
      <c r="AJ320" t="str">
        <f t="shared" si="67"/>
        <v>OK</v>
      </c>
      <c r="AK320" t="str">
        <f t="shared" si="68"/>
        <v>OK</v>
      </c>
      <c r="AL320" t="str">
        <f t="shared" si="69"/>
        <v>OK</v>
      </c>
      <c r="AM320" t="str">
        <f t="shared" si="70"/>
        <v>ERROR</v>
      </c>
      <c r="AN320" t="str">
        <f t="shared" si="71"/>
        <v>OK</v>
      </c>
      <c r="AO320" t="str">
        <f t="shared" si="72"/>
        <v>OK</v>
      </c>
      <c r="AP320" t="str">
        <f t="shared" si="73"/>
        <v>OK</v>
      </c>
      <c r="AQ320" t="str">
        <f t="shared" si="74"/>
        <v>OK</v>
      </c>
    </row>
    <row r="321" spans="1:43" x14ac:dyDescent="0.3">
      <c r="A321" t="s">
        <v>1374</v>
      </c>
      <c r="B321" s="1">
        <v>45650</v>
      </c>
      <c r="C321" t="s">
        <v>1375</v>
      </c>
      <c r="D321" t="s">
        <v>25</v>
      </c>
      <c r="E321" t="s">
        <v>1376</v>
      </c>
      <c r="F321" t="s">
        <v>27</v>
      </c>
      <c r="G321" t="s">
        <v>1377</v>
      </c>
      <c r="H321">
        <v>1799</v>
      </c>
      <c r="I321">
        <v>1</v>
      </c>
      <c r="J321">
        <v>1799</v>
      </c>
      <c r="K321" t="s">
        <v>29</v>
      </c>
      <c r="L321">
        <v>0</v>
      </c>
      <c r="M321" t="s">
        <v>65</v>
      </c>
      <c r="N321" t="s">
        <v>45</v>
      </c>
      <c r="O321" t="s">
        <v>151</v>
      </c>
      <c r="P321" t="s">
        <v>152</v>
      </c>
      <c r="Q321" t="s">
        <v>32</v>
      </c>
      <c r="R321" s="1">
        <v>45674</v>
      </c>
      <c r="S321" t="s">
        <v>34</v>
      </c>
      <c r="T321" t="s">
        <v>47</v>
      </c>
      <c r="U321" t="s">
        <v>69</v>
      </c>
      <c r="V321" s="1">
        <v>45701</v>
      </c>
      <c r="W321" t="s">
        <v>49</v>
      </c>
      <c r="AB321" s="2">
        <f t="shared" si="60"/>
        <v>1</v>
      </c>
      <c r="AC321">
        <f t="shared" si="61"/>
        <v>0</v>
      </c>
      <c r="AD321">
        <f t="shared" si="62"/>
        <v>2</v>
      </c>
      <c r="AE321" t="str">
        <f t="shared" si="63"/>
        <v>OK</v>
      </c>
      <c r="AF321" t="str">
        <f t="shared" si="64"/>
        <v>OK</v>
      </c>
      <c r="AG321" t="str">
        <f t="shared" si="65"/>
        <v>OK</v>
      </c>
      <c r="AI321" t="str">
        <f t="shared" si="66"/>
        <v>ERROR</v>
      </c>
      <c r="AJ321" t="str">
        <f t="shared" si="67"/>
        <v>OK</v>
      </c>
      <c r="AK321" t="str">
        <f t="shared" si="68"/>
        <v>OK</v>
      </c>
      <c r="AL321" t="str">
        <f t="shared" si="69"/>
        <v>OK</v>
      </c>
      <c r="AM321" t="str">
        <f t="shared" si="70"/>
        <v>OK</v>
      </c>
      <c r="AN321" t="str">
        <f t="shared" si="71"/>
        <v>OK</v>
      </c>
      <c r="AO321" t="str">
        <f t="shared" si="72"/>
        <v>OK</v>
      </c>
      <c r="AP321" t="str">
        <f t="shared" si="73"/>
        <v>OK</v>
      </c>
      <c r="AQ321" t="str">
        <f t="shared" si="74"/>
        <v>OK</v>
      </c>
    </row>
    <row r="322" spans="1:43" x14ac:dyDescent="0.3">
      <c r="A322" t="s">
        <v>1378</v>
      </c>
      <c r="B322" s="1">
        <v>45650</v>
      </c>
      <c r="C322" t="s">
        <v>1379</v>
      </c>
      <c r="D322" t="s">
        <v>25</v>
      </c>
      <c r="E322" t="s">
        <v>1380</v>
      </c>
      <c r="F322" t="s">
        <v>41</v>
      </c>
      <c r="G322" t="s">
        <v>1381</v>
      </c>
      <c r="H322">
        <v>4299</v>
      </c>
      <c r="I322">
        <v>1</v>
      </c>
      <c r="J322">
        <v>4299</v>
      </c>
      <c r="K322" t="s">
        <v>29</v>
      </c>
      <c r="L322">
        <v>0</v>
      </c>
      <c r="M322" t="s">
        <v>44</v>
      </c>
      <c r="N322" t="s">
        <v>66</v>
      </c>
      <c r="O322" t="s">
        <v>157</v>
      </c>
      <c r="P322" t="s">
        <v>98</v>
      </c>
      <c r="Q322" t="s">
        <v>32</v>
      </c>
      <c r="R322" s="1">
        <v>45675</v>
      </c>
      <c r="S322" t="s">
        <v>34</v>
      </c>
      <c r="T322" t="s">
        <v>47</v>
      </c>
      <c r="U322" t="s">
        <v>48</v>
      </c>
      <c r="V322" s="1">
        <v>45703</v>
      </c>
      <c r="W322" t="s">
        <v>49</v>
      </c>
      <c r="AB322" s="2">
        <f t="shared" si="60"/>
        <v>1</v>
      </c>
      <c r="AC322">
        <f t="shared" si="61"/>
        <v>0</v>
      </c>
      <c r="AD322">
        <f t="shared" si="62"/>
        <v>2</v>
      </c>
      <c r="AE322" t="str">
        <f t="shared" si="63"/>
        <v>OK</v>
      </c>
      <c r="AF322" t="str">
        <f t="shared" si="64"/>
        <v>OK</v>
      </c>
      <c r="AG322" t="str">
        <f t="shared" si="65"/>
        <v>OK</v>
      </c>
      <c r="AI322" t="str">
        <f t="shared" si="66"/>
        <v>ERROR</v>
      </c>
      <c r="AJ322" t="str">
        <f t="shared" si="67"/>
        <v>OK</v>
      </c>
      <c r="AK322" t="str">
        <f t="shared" si="68"/>
        <v>OK</v>
      </c>
      <c r="AL322" t="str">
        <f t="shared" si="69"/>
        <v>OK</v>
      </c>
      <c r="AM322" t="str">
        <f t="shared" si="70"/>
        <v>OK</v>
      </c>
      <c r="AN322" t="str">
        <f t="shared" si="71"/>
        <v>OK</v>
      </c>
      <c r="AO322" t="str">
        <f t="shared" si="72"/>
        <v>OK</v>
      </c>
      <c r="AP322" t="str">
        <f t="shared" si="73"/>
        <v>OK</v>
      </c>
      <c r="AQ322" t="str">
        <f t="shared" si="74"/>
        <v>OK</v>
      </c>
    </row>
    <row r="323" spans="1:43" x14ac:dyDescent="0.3">
      <c r="A323" t="s">
        <v>1382</v>
      </c>
      <c r="B323" s="1">
        <v>45651</v>
      </c>
      <c r="C323" t="s">
        <v>1383</v>
      </c>
      <c r="D323" t="s">
        <v>25</v>
      </c>
      <c r="E323" t="s">
        <v>1384</v>
      </c>
      <c r="F323" t="s">
        <v>54</v>
      </c>
      <c r="G323" t="s">
        <v>1385</v>
      </c>
      <c r="H323">
        <v>1899</v>
      </c>
      <c r="I323">
        <v>1</v>
      </c>
      <c r="J323">
        <v>1899</v>
      </c>
      <c r="K323" t="s">
        <v>996</v>
      </c>
      <c r="L323">
        <v>20</v>
      </c>
      <c r="M323" t="s">
        <v>30</v>
      </c>
      <c r="N323" t="s">
        <v>31</v>
      </c>
      <c r="O323" t="s">
        <v>162</v>
      </c>
      <c r="P323" t="s">
        <v>163</v>
      </c>
      <c r="Q323" t="s">
        <v>46</v>
      </c>
      <c r="R323" s="1">
        <v>45675</v>
      </c>
      <c r="S323" t="s">
        <v>34</v>
      </c>
      <c r="T323" t="s">
        <v>35</v>
      </c>
      <c r="U323" t="s">
        <v>29</v>
      </c>
      <c r="V323" s="1"/>
      <c r="W323" t="s">
        <v>36</v>
      </c>
      <c r="AB323" s="2">
        <f t="shared" ref="AB323:AB347" si="75">COUNTIF(A$2:A$347,A323)</f>
        <v>1</v>
      </c>
      <c r="AC323">
        <f t="shared" ref="AC323:AC347" si="76">LEN(S323)-LEN(TRIM(S323))</f>
        <v>0</v>
      </c>
      <c r="AD323">
        <f t="shared" ref="AD323:AD347" si="77">LEN(E323)-LEN(SUBSTITUTE(E323,"-",""))</f>
        <v>2</v>
      </c>
      <c r="AE323" t="str">
        <f t="shared" ref="AE323:AE347" si="78">IF(I323&gt;10,"FLAG","OK")</f>
        <v>OK</v>
      </c>
      <c r="AF323" t="str">
        <f t="shared" ref="AF323:AF347" si="79">IF(OR(H323&lt;=0,H323&gt;10000),"FLAG","OK")</f>
        <v>OK</v>
      </c>
      <c r="AG323" t="str">
        <f t="shared" ref="AG323:AG347" si="80">IF(OR(L323&lt;0,L323&gt;100),"FLAG","OK")</f>
        <v>OK</v>
      </c>
      <c r="AI323" t="str">
        <f t="shared" ref="AI323:AI347" si="81">IF(AG323=J323,"OK","ERROR")</f>
        <v>ERROR</v>
      </c>
      <c r="AJ323" t="str">
        <f t="shared" ref="AJ323:AJ347" si="82">IF(R323&lt;B323,"ERROR","OK")</f>
        <v>OK</v>
      </c>
      <c r="AK323" t="str">
        <f t="shared" ref="AK323:AK347" si="83">IF(AND(S323="Cancelled",R323&lt;&gt;""),"ERROR","OK")</f>
        <v>OK</v>
      </c>
      <c r="AL323" t="str">
        <f t="shared" ref="AL323:AL347" si="84">IF(AND(T323="Yes",U323=""),"ERROR","OK")</f>
        <v>OK</v>
      </c>
      <c r="AM323" t="str">
        <f t="shared" ref="AM323:AM347" si="85">IF(V323&lt;R323,"ERROR","OK")</f>
        <v>ERROR</v>
      </c>
      <c r="AN323" t="str">
        <f t="shared" ref="AN323:AN347" si="86">IF(AND(I323&gt;0,MOD(I323,1)=0),"OK","ERROR")</f>
        <v>OK</v>
      </c>
      <c r="AO323" t="str">
        <f t="shared" ref="AO323:AO347" si="87">IF(OR(B323="",B323&lt;DATE(2024,10,1),B323&gt;DATE(2024,12,31)),"ERROR","OK")</f>
        <v>OK</v>
      </c>
      <c r="AP323" t="str">
        <f t="shared" ref="AP323:AP347" si="88">IF(OR(B323&lt;DATE(2024,10,1),B323&gt;DATE(2024,12,31)),"ERROR","OK")</f>
        <v>OK</v>
      </c>
      <c r="AQ323" t="str">
        <f t="shared" ref="AQ323:AQ347" si="89">IF(OR(S323="Delivered",S323="Cancelled",S323="RTO",S323="In Transit"),"OK","ERROR")</f>
        <v>OK</v>
      </c>
    </row>
    <row r="324" spans="1:43" x14ac:dyDescent="0.3">
      <c r="A324" t="s">
        <v>1386</v>
      </c>
      <c r="B324" s="1">
        <v>45651</v>
      </c>
      <c r="C324" t="s">
        <v>1387</v>
      </c>
      <c r="D324" t="s">
        <v>25</v>
      </c>
      <c r="E324" t="s">
        <v>1388</v>
      </c>
      <c r="F324" t="s">
        <v>62</v>
      </c>
      <c r="G324" t="s">
        <v>1389</v>
      </c>
      <c r="H324">
        <v>4999</v>
      </c>
      <c r="I324">
        <v>1</v>
      </c>
      <c r="J324">
        <v>4999</v>
      </c>
      <c r="K324" t="s">
        <v>29</v>
      </c>
      <c r="L324">
        <v>0</v>
      </c>
      <c r="M324" t="s">
        <v>56</v>
      </c>
      <c r="N324" t="s">
        <v>45</v>
      </c>
      <c r="O324" t="s">
        <v>168</v>
      </c>
      <c r="P324" t="s">
        <v>152</v>
      </c>
      <c r="Q324" t="s">
        <v>32</v>
      </c>
      <c r="R324" s="1">
        <v>45676</v>
      </c>
      <c r="S324" t="s">
        <v>34</v>
      </c>
      <c r="T324" t="s">
        <v>47</v>
      </c>
      <c r="U324" t="s">
        <v>105</v>
      </c>
      <c r="V324" s="1">
        <v>45704</v>
      </c>
      <c r="W324" t="s">
        <v>49</v>
      </c>
      <c r="AB324" s="2">
        <f t="shared" si="75"/>
        <v>1</v>
      </c>
      <c r="AC324">
        <f t="shared" si="76"/>
        <v>0</v>
      </c>
      <c r="AD324">
        <f t="shared" si="77"/>
        <v>2</v>
      </c>
      <c r="AE324" t="str">
        <f t="shared" si="78"/>
        <v>OK</v>
      </c>
      <c r="AF324" t="str">
        <f t="shared" si="79"/>
        <v>OK</v>
      </c>
      <c r="AG324" t="str">
        <f t="shared" si="80"/>
        <v>OK</v>
      </c>
      <c r="AI324" t="str">
        <f t="shared" si="81"/>
        <v>ERROR</v>
      </c>
      <c r="AJ324" t="str">
        <f t="shared" si="82"/>
        <v>OK</v>
      </c>
      <c r="AK324" t="str">
        <f t="shared" si="83"/>
        <v>OK</v>
      </c>
      <c r="AL324" t="str">
        <f t="shared" si="84"/>
        <v>OK</v>
      </c>
      <c r="AM324" t="str">
        <f t="shared" si="85"/>
        <v>OK</v>
      </c>
      <c r="AN324" t="str">
        <f t="shared" si="86"/>
        <v>OK</v>
      </c>
      <c r="AO324" t="str">
        <f t="shared" si="87"/>
        <v>OK</v>
      </c>
      <c r="AP324" t="str">
        <f t="shared" si="88"/>
        <v>OK</v>
      </c>
      <c r="AQ324" t="str">
        <f t="shared" si="89"/>
        <v>OK</v>
      </c>
    </row>
    <row r="325" spans="1:43" x14ac:dyDescent="0.3">
      <c r="A325" t="s">
        <v>1390</v>
      </c>
      <c r="B325" s="1">
        <v>45651</v>
      </c>
      <c r="C325" t="s">
        <v>1391</v>
      </c>
      <c r="D325" t="s">
        <v>39</v>
      </c>
      <c r="E325" t="s">
        <v>1392</v>
      </c>
      <c r="F325" t="s">
        <v>72</v>
      </c>
      <c r="G325" t="s">
        <v>1393</v>
      </c>
      <c r="H325">
        <v>1399</v>
      </c>
      <c r="I325">
        <v>1</v>
      </c>
      <c r="J325">
        <v>1399</v>
      </c>
      <c r="K325" t="s">
        <v>29</v>
      </c>
      <c r="L325">
        <v>0</v>
      </c>
      <c r="M325" t="s">
        <v>112</v>
      </c>
      <c r="N325" t="s">
        <v>66</v>
      </c>
      <c r="O325" t="s">
        <v>173</v>
      </c>
      <c r="P325" t="s">
        <v>33</v>
      </c>
      <c r="Q325" t="s">
        <v>32</v>
      </c>
      <c r="R325" s="1">
        <v>45675</v>
      </c>
      <c r="S325" t="s">
        <v>34</v>
      </c>
      <c r="T325" t="s">
        <v>35</v>
      </c>
      <c r="U325" t="s">
        <v>29</v>
      </c>
      <c r="V325" s="1"/>
      <c r="W325" t="s">
        <v>36</v>
      </c>
      <c r="AB325" s="2">
        <f t="shared" si="75"/>
        <v>1</v>
      </c>
      <c r="AC325">
        <f t="shared" si="76"/>
        <v>0</v>
      </c>
      <c r="AD325">
        <f t="shared" si="77"/>
        <v>2</v>
      </c>
      <c r="AE325" t="str">
        <f t="shared" si="78"/>
        <v>OK</v>
      </c>
      <c r="AF325" t="str">
        <f t="shared" si="79"/>
        <v>OK</v>
      </c>
      <c r="AG325" t="str">
        <f t="shared" si="80"/>
        <v>OK</v>
      </c>
      <c r="AI325" t="str">
        <f t="shared" si="81"/>
        <v>ERROR</v>
      </c>
      <c r="AJ325" t="str">
        <f t="shared" si="82"/>
        <v>OK</v>
      </c>
      <c r="AK325" t="str">
        <f t="shared" si="83"/>
        <v>OK</v>
      </c>
      <c r="AL325" t="str">
        <f t="shared" si="84"/>
        <v>OK</v>
      </c>
      <c r="AM325" t="str">
        <f t="shared" si="85"/>
        <v>ERROR</v>
      </c>
      <c r="AN325" t="str">
        <f t="shared" si="86"/>
        <v>OK</v>
      </c>
      <c r="AO325" t="str">
        <f t="shared" si="87"/>
        <v>OK</v>
      </c>
      <c r="AP325" t="str">
        <f t="shared" si="88"/>
        <v>OK</v>
      </c>
      <c r="AQ325" t="str">
        <f t="shared" si="89"/>
        <v>OK</v>
      </c>
    </row>
    <row r="326" spans="1:43" x14ac:dyDescent="0.3">
      <c r="A326" t="s">
        <v>1394</v>
      </c>
      <c r="B326" s="1">
        <v>45651</v>
      </c>
      <c r="C326" t="s">
        <v>1395</v>
      </c>
      <c r="D326" t="s">
        <v>25</v>
      </c>
      <c r="E326" t="s">
        <v>1396</v>
      </c>
      <c r="F326" t="s">
        <v>27</v>
      </c>
      <c r="G326" t="s">
        <v>1397</v>
      </c>
      <c r="H326">
        <v>2099</v>
      </c>
      <c r="I326">
        <v>1</v>
      </c>
      <c r="J326">
        <v>2099</v>
      </c>
      <c r="K326" t="s">
        <v>996</v>
      </c>
      <c r="L326">
        <v>20</v>
      </c>
      <c r="M326" t="s">
        <v>65</v>
      </c>
      <c r="N326" t="s">
        <v>31</v>
      </c>
      <c r="O326" t="s">
        <v>178</v>
      </c>
      <c r="P326" t="s">
        <v>68</v>
      </c>
      <c r="Q326" t="s">
        <v>57</v>
      </c>
      <c r="R326" s="1">
        <v>45676</v>
      </c>
      <c r="S326" t="s">
        <v>34</v>
      </c>
      <c r="T326" t="s">
        <v>47</v>
      </c>
      <c r="U326" t="s">
        <v>139</v>
      </c>
      <c r="V326" s="1">
        <v>45703</v>
      </c>
      <c r="W326" t="s">
        <v>49</v>
      </c>
      <c r="AB326" s="2">
        <f t="shared" si="75"/>
        <v>1</v>
      </c>
      <c r="AC326">
        <f t="shared" si="76"/>
        <v>0</v>
      </c>
      <c r="AD326">
        <f t="shared" si="77"/>
        <v>2</v>
      </c>
      <c r="AE326" t="str">
        <f t="shared" si="78"/>
        <v>OK</v>
      </c>
      <c r="AF326" t="str">
        <f t="shared" si="79"/>
        <v>OK</v>
      </c>
      <c r="AG326" t="str">
        <f t="shared" si="80"/>
        <v>OK</v>
      </c>
      <c r="AI326" t="str">
        <f t="shared" si="81"/>
        <v>ERROR</v>
      </c>
      <c r="AJ326" t="str">
        <f t="shared" si="82"/>
        <v>OK</v>
      </c>
      <c r="AK326" t="str">
        <f t="shared" si="83"/>
        <v>OK</v>
      </c>
      <c r="AL326" t="str">
        <f t="shared" si="84"/>
        <v>OK</v>
      </c>
      <c r="AM326" t="str">
        <f t="shared" si="85"/>
        <v>OK</v>
      </c>
      <c r="AN326" t="str">
        <f t="shared" si="86"/>
        <v>OK</v>
      </c>
      <c r="AO326" t="str">
        <f t="shared" si="87"/>
        <v>OK</v>
      </c>
      <c r="AP326" t="str">
        <f t="shared" si="88"/>
        <v>OK</v>
      </c>
      <c r="AQ326" t="str">
        <f t="shared" si="89"/>
        <v>OK</v>
      </c>
    </row>
    <row r="327" spans="1:43" x14ac:dyDescent="0.3">
      <c r="A327" t="s">
        <v>1398</v>
      </c>
      <c r="B327" s="1">
        <v>45652</v>
      </c>
      <c r="C327" t="s">
        <v>1399</v>
      </c>
      <c r="D327" t="s">
        <v>25</v>
      </c>
      <c r="E327" t="s">
        <v>1400</v>
      </c>
      <c r="F327" t="s">
        <v>41</v>
      </c>
      <c r="G327" t="s">
        <v>1401</v>
      </c>
      <c r="H327">
        <v>2999</v>
      </c>
      <c r="I327">
        <v>1</v>
      </c>
      <c r="J327">
        <v>2999</v>
      </c>
      <c r="K327" t="s">
        <v>29</v>
      </c>
      <c r="L327">
        <v>0</v>
      </c>
      <c r="M327" t="s">
        <v>44</v>
      </c>
      <c r="N327" t="s">
        <v>45</v>
      </c>
      <c r="O327" t="s">
        <v>183</v>
      </c>
      <c r="P327" t="s">
        <v>184</v>
      </c>
      <c r="Q327" t="s">
        <v>57</v>
      </c>
      <c r="R327" s="1">
        <v>45677</v>
      </c>
      <c r="S327" t="s">
        <v>34</v>
      </c>
      <c r="T327" t="s">
        <v>47</v>
      </c>
      <c r="U327" t="s">
        <v>48</v>
      </c>
      <c r="V327" s="1">
        <v>45705</v>
      </c>
      <c r="W327" t="s">
        <v>49</v>
      </c>
      <c r="AB327" s="2">
        <f t="shared" si="75"/>
        <v>1</v>
      </c>
      <c r="AC327">
        <f t="shared" si="76"/>
        <v>0</v>
      </c>
      <c r="AD327">
        <f t="shared" si="77"/>
        <v>2</v>
      </c>
      <c r="AE327" t="str">
        <f t="shared" si="78"/>
        <v>OK</v>
      </c>
      <c r="AF327" t="str">
        <f t="shared" si="79"/>
        <v>OK</v>
      </c>
      <c r="AG327" t="str">
        <f t="shared" si="80"/>
        <v>OK</v>
      </c>
      <c r="AI327" t="str">
        <f t="shared" si="81"/>
        <v>ERROR</v>
      </c>
      <c r="AJ327" t="str">
        <f t="shared" si="82"/>
        <v>OK</v>
      </c>
      <c r="AK327" t="str">
        <f t="shared" si="83"/>
        <v>OK</v>
      </c>
      <c r="AL327" t="str">
        <f t="shared" si="84"/>
        <v>OK</v>
      </c>
      <c r="AM327" t="str">
        <f t="shared" si="85"/>
        <v>OK</v>
      </c>
      <c r="AN327" t="str">
        <f t="shared" si="86"/>
        <v>OK</v>
      </c>
      <c r="AO327" t="str">
        <f t="shared" si="87"/>
        <v>OK</v>
      </c>
      <c r="AP327" t="str">
        <f t="shared" si="88"/>
        <v>OK</v>
      </c>
      <c r="AQ327" t="str">
        <f t="shared" si="89"/>
        <v>OK</v>
      </c>
    </row>
    <row r="328" spans="1:43" x14ac:dyDescent="0.3">
      <c r="A328" t="s">
        <v>1402</v>
      </c>
      <c r="B328" s="1">
        <v>45652</v>
      </c>
      <c r="C328" t="s">
        <v>1403</v>
      </c>
      <c r="D328" t="s">
        <v>25</v>
      </c>
      <c r="E328" t="s">
        <v>1404</v>
      </c>
      <c r="F328" t="s">
        <v>54</v>
      </c>
      <c r="G328" t="s">
        <v>1405</v>
      </c>
      <c r="H328">
        <v>2199</v>
      </c>
      <c r="I328">
        <v>1</v>
      </c>
      <c r="J328">
        <v>2199</v>
      </c>
      <c r="K328" t="s">
        <v>29</v>
      </c>
      <c r="L328">
        <v>0</v>
      </c>
      <c r="M328" t="s">
        <v>30</v>
      </c>
      <c r="N328" t="s">
        <v>66</v>
      </c>
      <c r="O328" t="s">
        <v>189</v>
      </c>
      <c r="P328" t="s">
        <v>190</v>
      </c>
      <c r="Q328" t="s">
        <v>57</v>
      </c>
      <c r="R328" s="1">
        <v>45677</v>
      </c>
      <c r="S328" t="s">
        <v>34</v>
      </c>
      <c r="T328" t="s">
        <v>35</v>
      </c>
      <c r="U328" t="s">
        <v>29</v>
      </c>
      <c r="V328" s="1"/>
      <c r="W328" t="s">
        <v>36</v>
      </c>
      <c r="AB328" s="2">
        <f t="shared" si="75"/>
        <v>1</v>
      </c>
      <c r="AC328">
        <f t="shared" si="76"/>
        <v>0</v>
      </c>
      <c r="AD328">
        <f t="shared" si="77"/>
        <v>2</v>
      </c>
      <c r="AE328" t="str">
        <f t="shared" si="78"/>
        <v>OK</v>
      </c>
      <c r="AF328" t="str">
        <f t="shared" si="79"/>
        <v>OK</v>
      </c>
      <c r="AG328" t="str">
        <f t="shared" si="80"/>
        <v>OK</v>
      </c>
      <c r="AI328" t="str">
        <f t="shared" si="81"/>
        <v>ERROR</v>
      </c>
      <c r="AJ328" t="str">
        <f t="shared" si="82"/>
        <v>OK</v>
      </c>
      <c r="AK328" t="str">
        <f t="shared" si="83"/>
        <v>OK</v>
      </c>
      <c r="AL328" t="str">
        <f t="shared" si="84"/>
        <v>OK</v>
      </c>
      <c r="AM328" t="str">
        <f t="shared" si="85"/>
        <v>ERROR</v>
      </c>
      <c r="AN328" t="str">
        <f t="shared" si="86"/>
        <v>OK</v>
      </c>
      <c r="AO328" t="str">
        <f t="shared" si="87"/>
        <v>OK</v>
      </c>
      <c r="AP328" t="str">
        <f t="shared" si="88"/>
        <v>OK</v>
      </c>
      <c r="AQ328" t="str">
        <f t="shared" si="89"/>
        <v>OK</v>
      </c>
    </row>
    <row r="329" spans="1:43" x14ac:dyDescent="0.3">
      <c r="A329" t="s">
        <v>1406</v>
      </c>
      <c r="B329" s="1">
        <v>45652</v>
      </c>
      <c r="C329" t="s">
        <v>1407</v>
      </c>
      <c r="D329" t="s">
        <v>25</v>
      </c>
      <c r="E329" t="s">
        <v>1408</v>
      </c>
      <c r="F329" t="s">
        <v>62</v>
      </c>
      <c r="G329" t="s">
        <v>1409</v>
      </c>
      <c r="H329">
        <v>5999</v>
      </c>
      <c r="I329">
        <v>1</v>
      </c>
      <c r="J329">
        <v>5999</v>
      </c>
      <c r="K329" t="s">
        <v>996</v>
      </c>
      <c r="L329">
        <v>20</v>
      </c>
      <c r="M329" t="s">
        <v>56</v>
      </c>
      <c r="N329" t="s">
        <v>31</v>
      </c>
      <c r="O329" t="s">
        <v>195</v>
      </c>
      <c r="P329" t="s">
        <v>184</v>
      </c>
      <c r="Q329" t="s">
        <v>57</v>
      </c>
      <c r="R329" s="1">
        <v>45678</v>
      </c>
      <c r="S329" t="s">
        <v>34</v>
      </c>
      <c r="T329" t="s">
        <v>47</v>
      </c>
      <c r="U329" t="s">
        <v>80</v>
      </c>
      <c r="V329" s="1">
        <v>45706</v>
      </c>
      <c r="W329" t="s">
        <v>49</v>
      </c>
      <c r="AB329" s="2">
        <f t="shared" si="75"/>
        <v>1</v>
      </c>
      <c r="AC329">
        <f t="shared" si="76"/>
        <v>0</v>
      </c>
      <c r="AD329">
        <f t="shared" si="77"/>
        <v>2</v>
      </c>
      <c r="AE329" t="str">
        <f t="shared" si="78"/>
        <v>OK</v>
      </c>
      <c r="AF329" t="str">
        <f t="shared" si="79"/>
        <v>OK</v>
      </c>
      <c r="AG329" t="str">
        <f t="shared" si="80"/>
        <v>OK</v>
      </c>
      <c r="AI329" t="str">
        <f t="shared" si="81"/>
        <v>ERROR</v>
      </c>
      <c r="AJ329" t="str">
        <f t="shared" si="82"/>
        <v>OK</v>
      </c>
      <c r="AK329" t="str">
        <f t="shared" si="83"/>
        <v>OK</v>
      </c>
      <c r="AL329" t="str">
        <f t="shared" si="84"/>
        <v>OK</v>
      </c>
      <c r="AM329" t="str">
        <f t="shared" si="85"/>
        <v>OK</v>
      </c>
      <c r="AN329" t="str">
        <f t="shared" si="86"/>
        <v>OK</v>
      </c>
      <c r="AO329" t="str">
        <f t="shared" si="87"/>
        <v>OK</v>
      </c>
      <c r="AP329" t="str">
        <f t="shared" si="88"/>
        <v>OK</v>
      </c>
      <c r="AQ329" t="str">
        <f t="shared" si="89"/>
        <v>OK</v>
      </c>
    </row>
    <row r="330" spans="1:43" x14ac:dyDescent="0.3">
      <c r="A330" t="s">
        <v>1410</v>
      </c>
      <c r="B330" s="1">
        <v>45652</v>
      </c>
      <c r="C330" t="s">
        <v>1411</v>
      </c>
      <c r="D330" t="s">
        <v>39</v>
      </c>
      <c r="E330" t="s">
        <v>1412</v>
      </c>
      <c r="F330" t="s">
        <v>72</v>
      </c>
      <c r="G330" t="s">
        <v>1413</v>
      </c>
      <c r="H330">
        <v>1299</v>
      </c>
      <c r="I330">
        <v>1</v>
      </c>
      <c r="J330">
        <v>1299</v>
      </c>
      <c r="K330" t="s">
        <v>29</v>
      </c>
      <c r="L330">
        <v>0</v>
      </c>
      <c r="M330" t="s">
        <v>112</v>
      </c>
      <c r="N330" t="s">
        <v>45</v>
      </c>
      <c r="O330" t="s">
        <v>200</v>
      </c>
      <c r="P330" t="s">
        <v>58</v>
      </c>
      <c r="Q330" t="s">
        <v>57</v>
      </c>
      <c r="R330" s="1">
        <v>45677</v>
      </c>
      <c r="S330" t="s">
        <v>34</v>
      </c>
      <c r="T330" t="s">
        <v>47</v>
      </c>
      <c r="U330" t="s">
        <v>69</v>
      </c>
      <c r="V330" s="1">
        <v>45704</v>
      </c>
      <c r="W330" t="s">
        <v>49</v>
      </c>
      <c r="AB330" s="2">
        <f t="shared" si="75"/>
        <v>1</v>
      </c>
      <c r="AC330">
        <f t="shared" si="76"/>
        <v>0</v>
      </c>
      <c r="AD330">
        <f t="shared" si="77"/>
        <v>2</v>
      </c>
      <c r="AE330" t="str">
        <f t="shared" si="78"/>
        <v>OK</v>
      </c>
      <c r="AF330" t="str">
        <f t="shared" si="79"/>
        <v>OK</v>
      </c>
      <c r="AG330" t="str">
        <f t="shared" si="80"/>
        <v>OK</v>
      </c>
      <c r="AI330" t="str">
        <f t="shared" si="81"/>
        <v>ERROR</v>
      </c>
      <c r="AJ330" t="str">
        <f t="shared" si="82"/>
        <v>OK</v>
      </c>
      <c r="AK330" t="str">
        <f t="shared" si="83"/>
        <v>OK</v>
      </c>
      <c r="AL330" t="str">
        <f t="shared" si="84"/>
        <v>OK</v>
      </c>
      <c r="AM330" t="str">
        <f t="shared" si="85"/>
        <v>OK</v>
      </c>
      <c r="AN330" t="str">
        <f t="shared" si="86"/>
        <v>OK</v>
      </c>
      <c r="AO330" t="str">
        <f t="shared" si="87"/>
        <v>OK</v>
      </c>
      <c r="AP330" t="str">
        <f t="shared" si="88"/>
        <v>OK</v>
      </c>
      <c r="AQ330" t="str">
        <f t="shared" si="89"/>
        <v>OK</v>
      </c>
    </row>
    <row r="331" spans="1:43" x14ac:dyDescent="0.3">
      <c r="A331" t="s">
        <v>1414</v>
      </c>
      <c r="B331" s="1">
        <v>45653</v>
      </c>
      <c r="C331" t="s">
        <v>1415</v>
      </c>
      <c r="D331" t="s">
        <v>25</v>
      </c>
      <c r="E331" t="s">
        <v>1416</v>
      </c>
      <c r="F331" t="s">
        <v>27</v>
      </c>
      <c r="G331" t="s">
        <v>1417</v>
      </c>
      <c r="H331">
        <v>999</v>
      </c>
      <c r="I331">
        <v>2</v>
      </c>
      <c r="J331">
        <v>1998</v>
      </c>
      <c r="K331" t="s">
        <v>29</v>
      </c>
      <c r="L331">
        <v>0</v>
      </c>
      <c r="M331" t="s">
        <v>65</v>
      </c>
      <c r="N331" t="s">
        <v>66</v>
      </c>
      <c r="O331" t="s">
        <v>205</v>
      </c>
      <c r="P331" t="s">
        <v>98</v>
      </c>
      <c r="Q331" t="s">
        <v>32</v>
      </c>
      <c r="R331" s="1">
        <v>45678</v>
      </c>
      <c r="S331" t="s">
        <v>34</v>
      </c>
      <c r="T331" t="s">
        <v>35</v>
      </c>
      <c r="U331" t="s">
        <v>29</v>
      </c>
      <c r="V331" s="1"/>
      <c r="W331" t="s">
        <v>36</v>
      </c>
      <c r="AB331" s="2">
        <f t="shared" si="75"/>
        <v>1</v>
      </c>
      <c r="AC331">
        <f t="shared" si="76"/>
        <v>0</v>
      </c>
      <c r="AD331">
        <f t="shared" si="77"/>
        <v>2</v>
      </c>
      <c r="AE331" t="str">
        <f t="shared" si="78"/>
        <v>OK</v>
      </c>
      <c r="AF331" t="str">
        <f t="shared" si="79"/>
        <v>OK</v>
      </c>
      <c r="AG331" t="str">
        <f t="shared" si="80"/>
        <v>OK</v>
      </c>
      <c r="AI331" t="str">
        <f t="shared" si="81"/>
        <v>ERROR</v>
      </c>
      <c r="AJ331" t="str">
        <f t="shared" si="82"/>
        <v>OK</v>
      </c>
      <c r="AK331" t="str">
        <f t="shared" si="83"/>
        <v>OK</v>
      </c>
      <c r="AL331" t="str">
        <f t="shared" si="84"/>
        <v>OK</v>
      </c>
      <c r="AM331" t="str">
        <f t="shared" si="85"/>
        <v>ERROR</v>
      </c>
      <c r="AN331" t="str">
        <f t="shared" si="86"/>
        <v>OK</v>
      </c>
      <c r="AO331" t="str">
        <f t="shared" si="87"/>
        <v>OK</v>
      </c>
      <c r="AP331" t="str">
        <f t="shared" si="88"/>
        <v>OK</v>
      </c>
      <c r="AQ331" t="str">
        <f t="shared" si="89"/>
        <v>OK</v>
      </c>
    </row>
    <row r="332" spans="1:43" x14ac:dyDescent="0.3">
      <c r="A332" t="s">
        <v>1418</v>
      </c>
      <c r="B332" s="1">
        <v>45653</v>
      </c>
      <c r="C332" t="s">
        <v>1419</v>
      </c>
      <c r="D332" t="s">
        <v>25</v>
      </c>
      <c r="E332" t="s">
        <v>1420</v>
      </c>
      <c r="F332" t="s">
        <v>41</v>
      </c>
      <c r="G332" t="s">
        <v>1421</v>
      </c>
      <c r="H332">
        <v>3499</v>
      </c>
      <c r="I332">
        <v>1</v>
      </c>
      <c r="J332">
        <v>3499</v>
      </c>
      <c r="K332" t="s">
        <v>996</v>
      </c>
      <c r="L332">
        <v>20</v>
      </c>
      <c r="M332" t="s">
        <v>44</v>
      </c>
      <c r="N332" t="s">
        <v>31</v>
      </c>
      <c r="O332" t="s">
        <v>210</v>
      </c>
      <c r="P332" t="s">
        <v>98</v>
      </c>
      <c r="Q332" t="s">
        <v>32</v>
      </c>
      <c r="R332" s="1">
        <v>45679</v>
      </c>
      <c r="S332" t="s">
        <v>34</v>
      </c>
      <c r="T332" t="s">
        <v>47</v>
      </c>
      <c r="U332" t="s">
        <v>48</v>
      </c>
      <c r="V332" s="1">
        <v>45707</v>
      </c>
      <c r="W332" t="s">
        <v>49</v>
      </c>
      <c r="AB332" s="2">
        <f t="shared" si="75"/>
        <v>1</v>
      </c>
      <c r="AC332">
        <f t="shared" si="76"/>
        <v>0</v>
      </c>
      <c r="AD332">
        <f t="shared" si="77"/>
        <v>2</v>
      </c>
      <c r="AE332" t="str">
        <f t="shared" si="78"/>
        <v>OK</v>
      </c>
      <c r="AF332" t="str">
        <f t="shared" si="79"/>
        <v>OK</v>
      </c>
      <c r="AG332" t="str">
        <f t="shared" si="80"/>
        <v>OK</v>
      </c>
      <c r="AI332" t="str">
        <f t="shared" si="81"/>
        <v>ERROR</v>
      </c>
      <c r="AJ332" t="str">
        <f t="shared" si="82"/>
        <v>OK</v>
      </c>
      <c r="AK332" t="str">
        <f t="shared" si="83"/>
        <v>OK</v>
      </c>
      <c r="AL332" t="str">
        <f t="shared" si="84"/>
        <v>OK</v>
      </c>
      <c r="AM332" t="str">
        <f t="shared" si="85"/>
        <v>OK</v>
      </c>
      <c r="AN332" t="str">
        <f t="shared" si="86"/>
        <v>OK</v>
      </c>
      <c r="AO332" t="str">
        <f t="shared" si="87"/>
        <v>OK</v>
      </c>
      <c r="AP332" t="str">
        <f t="shared" si="88"/>
        <v>OK</v>
      </c>
      <c r="AQ332" t="str">
        <f t="shared" si="89"/>
        <v>OK</v>
      </c>
    </row>
    <row r="333" spans="1:43" x14ac:dyDescent="0.3">
      <c r="A333" t="s">
        <v>1422</v>
      </c>
      <c r="B333" s="1">
        <v>45653</v>
      </c>
      <c r="C333" t="s">
        <v>1423</v>
      </c>
      <c r="D333" t="s">
        <v>25</v>
      </c>
      <c r="E333" t="s">
        <v>1424</v>
      </c>
      <c r="F333" t="s">
        <v>54</v>
      </c>
      <c r="G333" t="s">
        <v>1425</v>
      </c>
      <c r="H333">
        <v>1799</v>
      </c>
      <c r="I333">
        <v>1</v>
      </c>
      <c r="J333">
        <v>1799</v>
      </c>
      <c r="K333" t="s">
        <v>29</v>
      </c>
      <c r="L333">
        <v>0</v>
      </c>
      <c r="M333" t="s">
        <v>30</v>
      </c>
      <c r="N333" t="s">
        <v>45</v>
      </c>
      <c r="O333" t="s">
        <v>215</v>
      </c>
      <c r="P333" t="s">
        <v>114</v>
      </c>
      <c r="Q333" t="s">
        <v>46</v>
      </c>
      <c r="R333" s="1">
        <v>45679</v>
      </c>
      <c r="S333" t="s">
        <v>34</v>
      </c>
      <c r="T333" t="s">
        <v>35</v>
      </c>
      <c r="U333" t="s">
        <v>29</v>
      </c>
      <c r="V333" s="1"/>
      <c r="W333" t="s">
        <v>36</v>
      </c>
      <c r="AB333" s="2">
        <f t="shared" si="75"/>
        <v>1</v>
      </c>
      <c r="AC333">
        <f t="shared" si="76"/>
        <v>0</v>
      </c>
      <c r="AD333">
        <f t="shared" si="77"/>
        <v>2</v>
      </c>
      <c r="AE333" t="str">
        <f t="shared" si="78"/>
        <v>OK</v>
      </c>
      <c r="AF333" t="str">
        <f t="shared" si="79"/>
        <v>OK</v>
      </c>
      <c r="AG333" t="str">
        <f t="shared" si="80"/>
        <v>OK</v>
      </c>
      <c r="AI333" t="str">
        <f t="shared" si="81"/>
        <v>ERROR</v>
      </c>
      <c r="AJ333" t="str">
        <f t="shared" si="82"/>
        <v>OK</v>
      </c>
      <c r="AK333" t="str">
        <f t="shared" si="83"/>
        <v>OK</v>
      </c>
      <c r="AL333" t="str">
        <f t="shared" si="84"/>
        <v>OK</v>
      </c>
      <c r="AM333" t="str">
        <f t="shared" si="85"/>
        <v>ERROR</v>
      </c>
      <c r="AN333" t="str">
        <f t="shared" si="86"/>
        <v>OK</v>
      </c>
      <c r="AO333" t="str">
        <f t="shared" si="87"/>
        <v>OK</v>
      </c>
      <c r="AP333" t="str">
        <f t="shared" si="88"/>
        <v>OK</v>
      </c>
      <c r="AQ333" t="str">
        <f t="shared" si="89"/>
        <v>OK</v>
      </c>
    </row>
    <row r="334" spans="1:43" x14ac:dyDescent="0.3">
      <c r="A334" t="s">
        <v>1426</v>
      </c>
      <c r="B334" s="1">
        <v>45653</v>
      </c>
      <c r="C334" t="s">
        <v>1427</v>
      </c>
      <c r="D334" t="s">
        <v>25</v>
      </c>
      <c r="E334" t="s">
        <v>1428</v>
      </c>
      <c r="F334" t="s">
        <v>62</v>
      </c>
      <c r="G334" t="s">
        <v>1429</v>
      </c>
      <c r="H334">
        <v>4599</v>
      </c>
      <c r="I334">
        <v>1</v>
      </c>
      <c r="J334">
        <v>4599</v>
      </c>
      <c r="K334" t="s">
        <v>29</v>
      </c>
      <c r="L334">
        <v>0</v>
      </c>
      <c r="M334" t="s">
        <v>56</v>
      </c>
      <c r="N334" t="s">
        <v>66</v>
      </c>
      <c r="O334" t="s">
        <v>32</v>
      </c>
      <c r="P334" t="s">
        <v>33</v>
      </c>
      <c r="Q334" t="s">
        <v>32</v>
      </c>
      <c r="R334" s="1">
        <v>45680</v>
      </c>
      <c r="S334" t="s">
        <v>34</v>
      </c>
      <c r="T334" t="s">
        <v>47</v>
      </c>
      <c r="U334" t="s">
        <v>105</v>
      </c>
      <c r="V334" s="1">
        <v>45708</v>
      </c>
      <c r="W334" t="s">
        <v>49</v>
      </c>
      <c r="AB334" s="2">
        <f t="shared" si="75"/>
        <v>1</v>
      </c>
      <c r="AC334">
        <f t="shared" si="76"/>
        <v>0</v>
      </c>
      <c r="AD334">
        <f t="shared" si="77"/>
        <v>2</v>
      </c>
      <c r="AE334" t="str">
        <f t="shared" si="78"/>
        <v>OK</v>
      </c>
      <c r="AF334" t="str">
        <f t="shared" si="79"/>
        <v>OK</v>
      </c>
      <c r="AG334" t="str">
        <f t="shared" si="80"/>
        <v>OK</v>
      </c>
      <c r="AI334" t="str">
        <f t="shared" si="81"/>
        <v>ERROR</v>
      </c>
      <c r="AJ334" t="str">
        <f t="shared" si="82"/>
        <v>OK</v>
      </c>
      <c r="AK334" t="str">
        <f t="shared" si="83"/>
        <v>OK</v>
      </c>
      <c r="AL334" t="str">
        <f t="shared" si="84"/>
        <v>OK</v>
      </c>
      <c r="AM334" t="str">
        <f t="shared" si="85"/>
        <v>OK</v>
      </c>
      <c r="AN334" t="str">
        <f t="shared" si="86"/>
        <v>OK</v>
      </c>
      <c r="AO334" t="str">
        <f t="shared" si="87"/>
        <v>OK</v>
      </c>
      <c r="AP334" t="str">
        <f t="shared" si="88"/>
        <v>OK</v>
      </c>
      <c r="AQ334" t="str">
        <f t="shared" si="89"/>
        <v>OK</v>
      </c>
    </row>
    <row r="335" spans="1:43" x14ac:dyDescent="0.3">
      <c r="A335" t="s">
        <v>1430</v>
      </c>
      <c r="B335" s="1">
        <v>45654</v>
      </c>
      <c r="C335" t="s">
        <v>1431</v>
      </c>
      <c r="D335" t="s">
        <v>39</v>
      </c>
      <c r="E335" t="s">
        <v>1432</v>
      </c>
      <c r="F335" t="s">
        <v>72</v>
      </c>
      <c r="G335" t="s">
        <v>1433</v>
      </c>
      <c r="H335">
        <v>799</v>
      </c>
      <c r="I335">
        <v>1</v>
      </c>
      <c r="J335">
        <v>799</v>
      </c>
      <c r="K335" t="s">
        <v>996</v>
      </c>
      <c r="L335">
        <v>20</v>
      </c>
      <c r="M335" t="s">
        <v>112</v>
      </c>
      <c r="N335" t="s">
        <v>31</v>
      </c>
      <c r="O335" t="s">
        <v>46</v>
      </c>
      <c r="P335" t="s">
        <v>46</v>
      </c>
      <c r="Q335" t="s">
        <v>46</v>
      </c>
      <c r="R335" s="1">
        <v>45679</v>
      </c>
      <c r="S335" t="s">
        <v>34</v>
      </c>
      <c r="T335" t="s">
        <v>35</v>
      </c>
      <c r="U335" t="s">
        <v>29</v>
      </c>
      <c r="V335" s="1"/>
      <c r="W335" t="s">
        <v>36</v>
      </c>
      <c r="AB335" s="2">
        <f t="shared" si="75"/>
        <v>1</v>
      </c>
      <c r="AC335">
        <f t="shared" si="76"/>
        <v>0</v>
      </c>
      <c r="AD335">
        <f t="shared" si="77"/>
        <v>2</v>
      </c>
      <c r="AE335" t="str">
        <f t="shared" si="78"/>
        <v>OK</v>
      </c>
      <c r="AF335" t="str">
        <f t="shared" si="79"/>
        <v>OK</v>
      </c>
      <c r="AG335" t="str">
        <f t="shared" si="80"/>
        <v>OK</v>
      </c>
      <c r="AI335" t="str">
        <f t="shared" si="81"/>
        <v>ERROR</v>
      </c>
      <c r="AJ335" t="str">
        <f t="shared" si="82"/>
        <v>OK</v>
      </c>
      <c r="AK335" t="str">
        <f t="shared" si="83"/>
        <v>OK</v>
      </c>
      <c r="AL335" t="str">
        <f t="shared" si="84"/>
        <v>OK</v>
      </c>
      <c r="AM335" t="str">
        <f t="shared" si="85"/>
        <v>ERROR</v>
      </c>
      <c r="AN335" t="str">
        <f t="shared" si="86"/>
        <v>OK</v>
      </c>
      <c r="AO335" t="str">
        <f t="shared" si="87"/>
        <v>OK</v>
      </c>
      <c r="AP335" t="str">
        <f t="shared" si="88"/>
        <v>OK</v>
      </c>
      <c r="AQ335" t="str">
        <f t="shared" si="89"/>
        <v>OK</v>
      </c>
    </row>
    <row r="336" spans="1:43" x14ac:dyDescent="0.3">
      <c r="A336" t="s">
        <v>1434</v>
      </c>
      <c r="B336" s="1">
        <v>45654</v>
      </c>
      <c r="C336" t="s">
        <v>1435</v>
      </c>
      <c r="D336" t="s">
        <v>25</v>
      </c>
      <c r="E336" t="s">
        <v>1436</v>
      </c>
      <c r="F336" t="s">
        <v>27</v>
      </c>
      <c r="G336" t="s">
        <v>1437</v>
      </c>
      <c r="H336">
        <v>1899</v>
      </c>
      <c r="I336">
        <v>1</v>
      </c>
      <c r="J336">
        <v>1899</v>
      </c>
      <c r="K336" t="s">
        <v>29</v>
      </c>
      <c r="L336">
        <v>0</v>
      </c>
      <c r="M336" t="s">
        <v>65</v>
      </c>
      <c r="N336" t="s">
        <v>45</v>
      </c>
      <c r="O336" t="s">
        <v>91</v>
      </c>
      <c r="P336" t="s">
        <v>92</v>
      </c>
      <c r="Q336" t="s">
        <v>46</v>
      </c>
      <c r="R336" s="1">
        <v>45680</v>
      </c>
      <c r="S336" t="s">
        <v>34</v>
      </c>
      <c r="T336" t="s">
        <v>47</v>
      </c>
      <c r="U336" t="s">
        <v>139</v>
      </c>
      <c r="V336" s="1">
        <v>45707</v>
      </c>
      <c r="W336" t="s">
        <v>49</v>
      </c>
      <c r="AB336" s="2">
        <f t="shared" si="75"/>
        <v>1</v>
      </c>
      <c r="AC336">
        <f t="shared" si="76"/>
        <v>0</v>
      </c>
      <c r="AD336">
        <f t="shared" si="77"/>
        <v>2</v>
      </c>
      <c r="AE336" t="str">
        <f t="shared" si="78"/>
        <v>OK</v>
      </c>
      <c r="AF336" t="str">
        <f t="shared" si="79"/>
        <v>OK</v>
      </c>
      <c r="AG336" t="str">
        <f t="shared" si="80"/>
        <v>OK</v>
      </c>
      <c r="AI336" t="str">
        <f t="shared" si="81"/>
        <v>ERROR</v>
      </c>
      <c r="AJ336" t="str">
        <f t="shared" si="82"/>
        <v>OK</v>
      </c>
      <c r="AK336" t="str">
        <f t="shared" si="83"/>
        <v>OK</v>
      </c>
      <c r="AL336" t="str">
        <f t="shared" si="84"/>
        <v>OK</v>
      </c>
      <c r="AM336" t="str">
        <f t="shared" si="85"/>
        <v>OK</v>
      </c>
      <c r="AN336" t="str">
        <f t="shared" si="86"/>
        <v>OK</v>
      </c>
      <c r="AO336" t="str">
        <f t="shared" si="87"/>
        <v>OK</v>
      </c>
      <c r="AP336" t="str">
        <f t="shared" si="88"/>
        <v>OK</v>
      </c>
      <c r="AQ336" t="str">
        <f t="shared" si="89"/>
        <v>OK</v>
      </c>
    </row>
    <row r="337" spans="1:43" x14ac:dyDescent="0.3">
      <c r="A337" t="s">
        <v>1438</v>
      </c>
      <c r="B337" s="1">
        <v>45654</v>
      </c>
      <c r="C337" t="s">
        <v>1439</v>
      </c>
      <c r="D337" t="s">
        <v>25</v>
      </c>
      <c r="E337" t="s">
        <v>1440</v>
      </c>
      <c r="F337" t="s">
        <v>41</v>
      </c>
      <c r="G337" t="s">
        <v>1441</v>
      </c>
      <c r="H337">
        <v>4099</v>
      </c>
      <c r="I337">
        <v>1</v>
      </c>
      <c r="J337">
        <v>4099</v>
      </c>
      <c r="K337" t="s">
        <v>29</v>
      </c>
      <c r="L337">
        <v>0</v>
      </c>
      <c r="M337" t="s">
        <v>44</v>
      </c>
      <c r="N337" t="s">
        <v>66</v>
      </c>
      <c r="O337" t="s">
        <v>67</v>
      </c>
      <c r="P337" t="s">
        <v>68</v>
      </c>
      <c r="Q337" t="s">
        <v>57</v>
      </c>
      <c r="R337" s="1">
        <v>45681</v>
      </c>
      <c r="S337" t="s">
        <v>34</v>
      </c>
      <c r="T337" t="s">
        <v>47</v>
      </c>
      <c r="U337" t="s">
        <v>48</v>
      </c>
      <c r="V337" s="1">
        <v>45709</v>
      </c>
      <c r="W337" t="s">
        <v>49</v>
      </c>
      <c r="AB337" s="2">
        <f t="shared" si="75"/>
        <v>1</v>
      </c>
      <c r="AC337">
        <f t="shared" si="76"/>
        <v>0</v>
      </c>
      <c r="AD337">
        <f t="shared" si="77"/>
        <v>2</v>
      </c>
      <c r="AE337" t="str">
        <f t="shared" si="78"/>
        <v>OK</v>
      </c>
      <c r="AF337" t="str">
        <f t="shared" si="79"/>
        <v>OK</v>
      </c>
      <c r="AG337" t="str">
        <f t="shared" si="80"/>
        <v>OK</v>
      </c>
      <c r="AI337" t="str">
        <f t="shared" si="81"/>
        <v>ERROR</v>
      </c>
      <c r="AJ337" t="str">
        <f t="shared" si="82"/>
        <v>OK</v>
      </c>
      <c r="AK337" t="str">
        <f t="shared" si="83"/>
        <v>OK</v>
      </c>
      <c r="AL337" t="str">
        <f t="shared" si="84"/>
        <v>OK</v>
      </c>
      <c r="AM337" t="str">
        <f t="shared" si="85"/>
        <v>OK</v>
      </c>
      <c r="AN337" t="str">
        <f t="shared" si="86"/>
        <v>OK</v>
      </c>
      <c r="AO337" t="str">
        <f t="shared" si="87"/>
        <v>OK</v>
      </c>
      <c r="AP337" t="str">
        <f t="shared" si="88"/>
        <v>OK</v>
      </c>
      <c r="AQ337" t="str">
        <f t="shared" si="89"/>
        <v>OK</v>
      </c>
    </row>
    <row r="338" spans="1:43" x14ac:dyDescent="0.3">
      <c r="A338" t="s">
        <v>1442</v>
      </c>
      <c r="B338" s="1">
        <v>45654</v>
      </c>
      <c r="C338" t="s">
        <v>1443</v>
      </c>
      <c r="D338" t="s">
        <v>25</v>
      </c>
      <c r="E338" t="s">
        <v>1444</v>
      </c>
      <c r="F338" t="s">
        <v>54</v>
      </c>
      <c r="G338" t="s">
        <v>1445</v>
      </c>
      <c r="H338">
        <v>2299</v>
      </c>
      <c r="I338">
        <v>1</v>
      </c>
      <c r="J338">
        <v>2299</v>
      </c>
      <c r="K338" t="s">
        <v>996</v>
      </c>
      <c r="L338">
        <v>20</v>
      </c>
      <c r="M338" t="s">
        <v>30</v>
      </c>
      <c r="N338" t="s">
        <v>31</v>
      </c>
      <c r="O338" t="s">
        <v>78</v>
      </c>
      <c r="P338" t="s">
        <v>79</v>
      </c>
      <c r="Q338" t="s">
        <v>57</v>
      </c>
      <c r="R338" s="1">
        <v>45681</v>
      </c>
      <c r="S338" t="s">
        <v>34</v>
      </c>
      <c r="T338" t="s">
        <v>35</v>
      </c>
      <c r="U338" t="s">
        <v>29</v>
      </c>
      <c r="V338" s="1"/>
      <c r="W338" t="s">
        <v>36</v>
      </c>
      <c r="AB338" s="2">
        <f t="shared" si="75"/>
        <v>1</v>
      </c>
      <c r="AC338">
        <f t="shared" si="76"/>
        <v>0</v>
      </c>
      <c r="AD338">
        <f t="shared" si="77"/>
        <v>2</v>
      </c>
      <c r="AE338" t="str">
        <f t="shared" si="78"/>
        <v>OK</v>
      </c>
      <c r="AF338" t="str">
        <f t="shared" si="79"/>
        <v>OK</v>
      </c>
      <c r="AG338" t="str">
        <f t="shared" si="80"/>
        <v>OK</v>
      </c>
      <c r="AI338" t="str">
        <f t="shared" si="81"/>
        <v>ERROR</v>
      </c>
      <c r="AJ338" t="str">
        <f t="shared" si="82"/>
        <v>OK</v>
      </c>
      <c r="AK338" t="str">
        <f t="shared" si="83"/>
        <v>OK</v>
      </c>
      <c r="AL338" t="str">
        <f t="shared" si="84"/>
        <v>OK</v>
      </c>
      <c r="AM338" t="str">
        <f t="shared" si="85"/>
        <v>ERROR</v>
      </c>
      <c r="AN338" t="str">
        <f t="shared" si="86"/>
        <v>OK</v>
      </c>
      <c r="AO338" t="str">
        <f t="shared" si="87"/>
        <v>OK</v>
      </c>
      <c r="AP338" t="str">
        <f t="shared" si="88"/>
        <v>OK</v>
      </c>
      <c r="AQ338" t="str">
        <f t="shared" si="89"/>
        <v>OK</v>
      </c>
    </row>
    <row r="339" spans="1:43" x14ac:dyDescent="0.3">
      <c r="A339" t="s">
        <v>1446</v>
      </c>
      <c r="B339" s="1">
        <v>45655</v>
      </c>
      <c r="C339" t="s">
        <v>1447</v>
      </c>
      <c r="D339" t="s">
        <v>25</v>
      </c>
      <c r="E339" t="s">
        <v>1448</v>
      </c>
      <c r="F339" t="s">
        <v>62</v>
      </c>
      <c r="G339" t="s">
        <v>1449</v>
      </c>
      <c r="H339">
        <v>5799</v>
      </c>
      <c r="I339">
        <v>1</v>
      </c>
      <c r="J339">
        <v>5799</v>
      </c>
      <c r="K339" t="s">
        <v>29</v>
      </c>
      <c r="L339">
        <v>0</v>
      </c>
      <c r="M339" t="s">
        <v>56</v>
      </c>
      <c r="N339" t="s">
        <v>45</v>
      </c>
      <c r="O339" t="s">
        <v>85</v>
      </c>
      <c r="P339" t="s">
        <v>33</v>
      </c>
      <c r="Q339" t="s">
        <v>32</v>
      </c>
      <c r="R339" s="1">
        <v>45682</v>
      </c>
      <c r="S339" t="s">
        <v>34</v>
      </c>
      <c r="T339" t="s">
        <v>47</v>
      </c>
      <c r="U339" t="s">
        <v>80</v>
      </c>
      <c r="V339" s="1">
        <v>45710</v>
      </c>
      <c r="W339" t="s">
        <v>49</v>
      </c>
      <c r="AB339" s="2">
        <f t="shared" si="75"/>
        <v>1</v>
      </c>
      <c r="AC339">
        <f t="shared" si="76"/>
        <v>0</v>
      </c>
      <c r="AD339">
        <f t="shared" si="77"/>
        <v>2</v>
      </c>
      <c r="AE339" t="str">
        <f t="shared" si="78"/>
        <v>OK</v>
      </c>
      <c r="AF339" t="str">
        <f t="shared" si="79"/>
        <v>OK</v>
      </c>
      <c r="AG339" t="str">
        <f t="shared" si="80"/>
        <v>OK</v>
      </c>
      <c r="AI339" t="str">
        <f t="shared" si="81"/>
        <v>ERROR</v>
      </c>
      <c r="AJ339" t="str">
        <f t="shared" si="82"/>
        <v>OK</v>
      </c>
      <c r="AK339" t="str">
        <f t="shared" si="83"/>
        <v>OK</v>
      </c>
      <c r="AL339" t="str">
        <f t="shared" si="84"/>
        <v>OK</v>
      </c>
      <c r="AM339" t="str">
        <f t="shared" si="85"/>
        <v>OK</v>
      </c>
      <c r="AN339" t="str">
        <f t="shared" si="86"/>
        <v>OK</v>
      </c>
      <c r="AO339" t="str">
        <f t="shared" si="87"/>
        <v>OK</v>
      </c>
      <c r="AP339" t="str">
        <f t="shared" si="88"/>
        <v>OK</v>
      </c>
      <c r="AQ339" t="str">
        <f t="shared" si="89"/>
        <v>OK</v>
      </c>
    </row>
    <row r="340" spans="1:43" x14ac:dyDescent="0.3">
      <c r="A340" t="s">
        <v>1450</v>
      </c>
      <c r="B340" s="1">
        <v>45655</v>
      </c>
      <c r="C340" t="s">
        <v>1451</v>
      </c>
      <c r="D340" t="s">
        <v>39</v>
      </c>
      <c r="E340" t="s">
        <v>1452</v>
      </c>
      <c r="F340" t="s">
        <v>72</v>
      </c>
      <c r="G340" t="s">
        <v>1453</v>
      </c>
      <c r="H340">
        <v>699</v>
      </c>
      <c r="I340">
        <v>2</v>
      </c>
      <c r="J340">
        <v>1398</v>
      </c>
      <c r="K340" t="s">
        <v>29</v>
      </c>
      <c r="L340">
        <v>0</v>
      </c>
      <c r="M340" t="s">
        <v>112</v>
      </c>
      <c r="N340" t="s">
        <v>66</v>
      </c>
      <c r="O340" t="s">
        <v>97</v>
      </c>
      <c r="P340" t="s">
        <v>98</v>
      </c>
      <c r="Q340" t="s">
        <v>32</v>
      </c>
      <c r="R340" s="1">
        <v>45681</v>
      </c>
      <c r="S340" t="s">
        <v>34</v>
      </c>
      <c r="T340" t="s">
        <v>47</v>
      </c>
      <c r="U340" t="s">
        <v>69</v>
      </c>
      <c r="V340" s="1">
        <v>45708</v>
      </c>
      <c r="W340" t="s">
        <v>49</v>
      </c>
      <c r="AB340" s="2">
        <f t="shared" si="75"/>
        <v>1</v>
      </c>
      <c r="AC340">
        <f t="shared" si="76"/>
        <v>0</v>
      </c>
      <c r="AD340">
        <f t="shared" si="77"/>
        <v>2</v>
      </c>
      <c r="AE340" t="str">
        <f t="shared" si="78"/>
        <v>OK</v>
      </c>
      <c r="AF340" t="str">
        <f t="shared" si="79"/>
        <v>OK</v>
      </c>
      <c r="AG340" t="str">
        <f t="shared" si="80"/>
        <v>OK</v>
      </c>
      <c r="AI340" t="str">
        <f t="shared" si="81"/>
        <v>ERROR</v>
      </c>
      <c r="AJ340" t="str">
        <f t="shared" si="82"/>
        <v>OK</v>
      </c>
      <c r="AK340" t="str">
        <f t="shared" si="83"/>
        <v>OK</v>
      </c>
      <c r="AL340" t="str">
        <f t="shared" si="84"/>
        <v>OK</v>
      </c>
      <c r="AM340" t="str">
        <f t="shared" si="85"/>
        <v>OK</v>
      </c>
      <c r="AN340" t="str">
        <f t="shared" si="86"/>
        <v>OK</v>
      </c>
      <c r="AO340" t="str">
        <f t="shared" si="87"/>
        <v>OK</v>
      </c>
      <c r="AP340" t="str">
        <f t="shared" si="88"/>
        <v>OK</v>
      </c>
      <c r="AQ340" t="str">
        <f t="shared" si="89"/>
        <v>OK</v>
      </c>
    </row>
    <row r="341" spans="1:43" x14ac:dyDescent="0.3">
      <c r="A341" t="s">
        <v>1454</v>
      </c>
      <c r="B341" s="1">
        <v>45655</v>
      </c>
      <c r="C341" t="s">
        <v>1455</v>
      </c>
      <c r="D341" t="s">
        <v>25</v>
      </c>
      <c r="E341" t="s">
        <v>1456</v>
      </c>
      <c r="F341" t="s">
        <v>27</v>
      </c>
      <c r="G341" t="s">
        <v>1457</v>
      </c>
      <c r="H341">
        <v>1999</v>
      </c>
      <c r="I341">
        <v>1</v>
      </c>
      <c r="J341">
        <v>1999</v>
      </c>
      <c r="K341" t="s">
        <v>996</v>
      </c>
      <c r="L341">
        <v>20</v>
      </c>
      <c r="M341" t="s">
        <v>65</v>
      </c>
      <c r="N341" t="s">
        <v>31</v>
      </c>
      <c r="O341" t="s">
        <v>103</v>
      </c>
      <c r="P341" t="s">
        <v>104</v>
      </c>
      <c r="Q341" t="s">
        <v>46</v>
      </c>
      <c r="R341" s="1">
        <v>45682</v>
      </c>
      <c r="S341" t="s">
        <v>34</v>
      </c>
      <c r="T341" t="s">
        <v>35</v>
      </c>
      <c r="U341" t="s">
        <v>29</v>
      </c>
      <c r="V341" s="1"/>
      <c r="W341" t="s">
        <v>36</v>
      </c>
      <c r="AB341" s="2">
        <f t="shared" si="75"/>
        <v>1</v>
      </c>
      <c r="AC341">
        <f t="shared" si="76"/>
        <v>0</v>
      </c>
      <c r="AD341">
        <f t="shared" si="77"/>
        <v>2</v>
      </c>
      <c r="AE341" t="str">
        <f t="shared" si="78"/>
        <v>OK</v>
      </c>
      <c r="AF341" t="str">
        <f t="shared" si="79"/>
        <v>OK</v>
      </c>
      <c r="AG341" t="str">
        <f t="shared" si="80"/>
        <v>OK</v>
      </c>
      <c r="AI341" t="str">
        <f t="shared" si="81"/>
        <v>ERROR</v>
      </c>
      <c r="AJ341" t="str">
        <f t="shared" si="82"/>
        <v>OK</v>
      </c>
      <c r="AK341" t="str">
        <f t="shared" si="83"/>
        <v>OK</v>
      </c>
      <c r="AL341" t="str">
        <f t="shared" si="84"/>
        <v>OK</v>
      </c>
      <c r="AM341" t="str">
        <f t="shared" si="85"/>
        <v>ERROR</v>
      </c>
      <c r="AN341" t="str">
        <f t="shared" si="86"/>
        <v>OK</v>
      </c>
      <c r="AO341" t="str">
        <f t="shared" si="87"/>
        <v>OK</v>
      </c>
      <c r="AP341" t="str">
        <f t="shared" si="88"/>
        <v>OK</v>
      </c>
      <c r="AQ341" t="str">
        <f t="shared" si="89"/>
        <v>OK</v>
      </c>
    </row>
    <row r="342" spans="1:43" x14ac:dyDescent="0.3">
      <c r="A342" t="s">
        <v>1458</v>
      </c>
      <c r="B342" s="1">
        <v>45655</v>
      </c>
      <c r="C342" t="s">
        <v>1455</v>
      </c>
      <c r="D342" t="s">
        <v>25</v>
      </c>
      <c r="E342" t="s">
        <v>1459</v>
      </c>
      <c r="F342" t="s">
        <v>41</v>
      </c>
      <c r="G342" t="s">
        <v>1460</v>
      </c>
      <c r="H342">
        <v>3899</v>
      </c>
      <c r="I342">
        <v>1</v>
      </c>
      <c r="J342">
        <v>3899</v>
      </c>
      <c r="K342" t="s">
        <v>29</v>
      </c>
      <c r="L342">
        <v>0</v>
      </c>
      <c r="M342" t="s">
        <v>44</v>
      </c>
      <c r="N342" t="s">
        <v>45</v>
      </c>
      <c r="O342" t="s">
        <v>113</v>
      </c>
      <c r="P342" t="s">
        <v>114</v>
      </c>
      <c r="Q342" t="s">
        <v>46</v>
      </c>
      <c r="R342" s="1">
        <v>45683</v>
      </c>
      <c r="S342" t="s">
        <v>34</v>
      </c>
      <c r="T342" t="s">
        <v>47</v>
      </c>
      <c r="U342" t="s">
        <v>48</v>
      </c>
      <c r="V342" s="1">
        <v>45711</v>
      </c>
      <c r="W342" t="s">
        <v>49</v>
      </c>
      <c r="AB342" s="2">
        <f t="shared" si="75"/>
        <v>1</v>
      </c>
      <c r="AC342">
        <f t="shared" si="76"/>
        <v>0</v>
      </c>
      <c r="AD342">
        <f t="shared" si="77"/>
        <v>2</v>
      </c>
      <c r="AE342" t="str">
        <f t="shared" si="78"/>
        <v>OK</v>
      </c>
      <c r="AF342" t="str">
        <f t="shared" si="79"/>
        <v>OK</v>
      </c>
      <c r="AG342" t="str">
        <f t="shared" si="80"/>
        <v>OK</v>
      </c>
      <c r="AI342" t="str">
        <f t="shared" si="81"/>
        <v>ERROR</v>
      </c>
      <c r="AJ342" t="str">
        <f t="shared" si="82"/>
        <v>OK</v>
      </c>
      <c r="AK342" t="str">
        <f t="shared" si="83"/>
        <v>OK</v>
      </c>
      <c r="AL342" t="str">
        <f t="shared" si="84"/>
        <v>OK</v>
      </c>
      <c r="AM342" t="str">
        <f t="shared" si="85"/>
        <v>OK</v>
      </c>
      <c r="AN342" t="str">
        <f t="shared" si="86"/>
        <v>OK</v>
      </c>
      <c r="AO342" t="str">
        <f t="shared" si="87"/>
        <v>OK</v>
      </c>
      <c r="AP342" t="str">
        <f t="shared" si="88"/>
        <v>OK</v>
      </c>
      <c r="AQ342" t="str">
        <f t="shared" si="89"/>
        <v>OK</v>
      </c>
    </row>
    <row r="343" spans="1:43" x14ac:dyDescent="0.3">
      <c r="A343" t="s">
        <v>1461</v>
      </c>
      <c r="B343" s="1">
        <v>45656</v>
      </c>
      <c r="C343" t="s">
        <v>1462</v>
      </c>
      <c r="D343" t="s">
        <v>25</v>
      </c>
      <c r="E343" t="s">
        <v>1463</v>
      </c>
      <c r="F343" t="s">
        <v>54</v>
      </c>
      <c r="G343" t="s">
        <v>1464</v>
      </c>
      <c r="H343">
        <v>2099</v>
      </c>
      <c r="I343">
        <v>1</v>
      </c>
      <c r="J343">
        <v>2099</v>
      </c>
      <c r="K343" t="s">
        <v>29</v>
      </c>
      <c r="L343">
        <v>0</v>
      </c>
      <c r="M343" t="s">
        <v>30</v>
      </c>
      <c r="N343" t="s">
        <v>66</v>
      </c>
      <c r="O343" t="s">
        <v>57</v>
      </c>
      <c r="P343" t="s">
        <v>58</v>
      </c>
      <c r="Q343" t="s">
        <v>57</v>
      </c>
      <c r="R343" s="1">
        <v>45683</v>
      </c>
      <c r="S343" t="s">
        <v>34</v>
      </c>
      <c r="T343" t="s">
        <v>35</v>
      </c>
      <c r="U343" t="s">
        <v>29</v>
      </c>
      <c r="V343" s="1"/>
      <c r="W343" t="s">
        <v>36</v>
      </c>
      <c r="AB343" s="2">
        <f t="shared" si="75"/>
        <v>1</v>
      </c>
      <c r="AC343">
        <f t="shared" si="76"/>
        <v>0</v>
      </c>
      <c r="AD343">
        <f t="shared" si="77"/>
        <v>2</v>
      </c>
      <c r="AE343" t="str">
        <f t="shared" si="78"/>
        <v>OK</v>
      </c>
      <c r="AF343" t="str">
        <f t="shared" si="79"/>
        <v>OK</v>
      </c>
      <c r="AG343" t="str">
        <f t="shared" si="80"/>
        <v>OK</v>
      </c>
      <c r="AI343" t="str">
        <f t="shared" si="81"/>
        <v>ERROR</v>
      </c>
      <c r="AJ343" t="str">
        <f t="shared" si="82"/>
        <v>OK</v>
      </c>
      <c r="AK343" t="str">
        <f t="shared" si="83"/>
        <v>OK</v>
      </c>
      <c r="AL343" t="str">
        <f t="shared" si="84"/>
        <v>OK</v>
      </c>
      <c r="AM343" t="str">
        <f t="shared" si="85"/>
        <v>ERROR</v>
      </c>
      <c r="AN343" t="str">
        <f t="shared" si="86"/>
        <v>OK</v>
      </c>
      <c r="AO343" t="str">
        <f t="shared" si="87"/>
        <v>OK</v>
      </c>
      <c r="AP343" t="str">
        <f t="shared" si="88"/>
        <v>OK</v>
      </c>
      <c r="AQ343" t="str">
        <f t="shared" si="89"/>
        <v>OK</v>
      </c>
    </row>
    <row r="344" spans="1:43" x14ac:dyDescent="0.3">
      <c r="A344" t="s">
        <v>1465</v>
      </c>
      <c r="B344" s="1">
        <v>45656</v>
      </c>
      <c r="C344" t="s">
        <v>1466</v>
      </c>
      <c r="D344" t="s">
        <v>25</v>
      </c>
      <c r="E344" t="s">
        <v>1467</v>
      </c>
      <c r="F344" t="s">
        <v>62</v>
      </c>
      <c r="G344" t="s">
        <v>1468</v>
      </c>
      <c r="H344">
        <v>4899</v>
      </c>
      <c r="I344">
        <v>1</v>
      </c>
      <c r="J344">
        <v>4899</v>
      </c>
      <c r="K344" t="s">
        <v>996</v>
      </c>
      <c r="L344">
        <v>20</v>
      </c>
      <c r="M344" t="s">
        <v>56</v>
      </c>
      <c r="N344" t="s">
        <v>31</v>
      </c>
      <c r="O344" t="s">
        <v>32</v>
      </c>
      <c r="P344" t="s">
        <v>33</v>
      </c>
      <c r="Q344" t="s">
        <v>32</v>
      </c>
      <c r="R344" s="1">
        <v>45684</v>
      </c>
      <c r="S344" t="s">
        <v>34</v>
      </c>
      <c r="T344" t="s">
        <v>47</v>
      </c>
      <c r="U344" t="s">
        <v>105</v>
      </c>
      <c r="V344" s="1">
        <v>45712</v>
      </c>
      <c r="W344" t="s">
        <v>49</v>
      </c>
      <c r="AB344" s="2">
        <f t="shared" si="75"/>
        <v>1</v>
      </c>
      <c r="AC344">
        <f t="shared" si="76"/>
        <v>0</v>
      </c>
      <c r="AD344">
        <f t="shared" si="77"/>
        <v>2</v>
      </c>
      <c r="AE344" t="str">
        <f t="shared" si="78"/>
        <v>OK</v>
      </c>
      <c r="AF344" t="str">
        <f t="shared" si="79"/>
        <v>OK</v>
      </c>
      <c r="AG344" t="str">
        <f t="shared" si="80"/>
        <v>OK</v>
      </c>
      <c r="AI344" t="str">
        <f t="shared" si="81"/>
        <v>ERROR</v>
      </c>
      <c r="AJ344" t="str">
        <f t="shared" si="82"/>
        <v>OK</v>
      </c>
      <c r="AK344" t="str">
        <f t="shared" si="83"/>
        <v>OK</v>
      </c>
      <c r="AL344" t="str">
        <f t="shared" si="84"/>
        <v>OK</v>
      </c>
      <c r="AM344" t="str">
        <f t="shared" si="85"/>
        <v>OK</v>
      </c>
      <c r="AN344" t="str">
        <f t="shared" si="86"/>
        <v>OK</v>
      </c>
      <c r="AO344" t="str">
        <f t="shared" si="87"/>
        <v>OK</v>
      </c>
      <c r="AP344" t="str">
        <f t="shared" si="88"/>
        <v>OK</v>
      </c>
      <c r="AQ344" t="str">
        <f t="shared" si="89"/>
        <v>OK</v>
      </c>
    </row>
    <row r="345" spans="1:43" x14ac:dyDescent="0.3">
      <c r="A345" t="s">
        <v>1469</v>
      </c>
      <c r="B345" s="1">
        <v>45656</v>
      </c>
      <c r="C345" t="s">
        <v>1470</v>
      </c>
      <c r="D345" t="s">
        <v>39</v>
      </c>
      <c r="E345" t="s">
        <v>1471</v>
      </c>
      <c r="F345" t="s">
        <v>72</v>
      </c>
      <c r="G345" t="s">
        <v>1472</v>
      </c>
      <c r="H345">
        <v>599</v>
      </c>
      <c r="I345">
        <v>3</v>
      </c>
      <c r="J345">
        <v>1797</v>
      </c>
      <c r="K345" t="s">
        <v>29</v>
      </c>
      <c r="L345">
        <v>0</v>
      </c>
      <c r="M345" t="s">
        <v>112</v>
      </c>
      <c r="N345" t="s">
        <v>45</v>
      </c>
      <c r="O345" t="s">
        <v>46</v>
      </c>
      <c r="P345" t="s">
        <v>46</v>
      </c>
      <c r="Q345" t="s">
        <v>46</v>
      </c>
      <c r="R345" s="1">
        <v>45683</v>
      </c>
      <c r="S345" t="s">
        <v>34</v>
      </c>
      <c r="T345" t="s">
        <v>35</v>
      </c>
      <c r="U345" t="s">
        <v>29</v>
      </c>
      <c r="V345" s="1"/>
      <c r="W345" t="s">
        <v>36</v>
      </c>
      <c r="AB345" s="2">
        <f t="shared" si="75"/>
        <v>1</v>
      </c>
      <c r="AC345">
        <f t="shared" si="76"/>
        <v>0</v>
      </c>
      <c r="AD345">
        <f t="shared" si="77"/>
        <v>2</v>
      </c>
      <c r="AE345" t="str">
        <f t="shared" si="78"/>
        <v>OK</v>
      </c>
      <c r="AF345" t="str">
        <f t="shared" si="79"/>
        <v>OK</v>
      </c>
      <c r="AG345" t="str">
        <f t="shared" si="80"/>
        <v>OK</v>
      </c>
      <c r="AI345" t="str">
        <f t="shared" si="81"/>
        <v>ERROR</v>
      </c>
      <c r="AJ345" t="str">
        <f t="shared" si="82"/>
        <v>OK</v>
      </c>
      <c r="AK345" t="str">
        <f t="shared" si="83"/>
        <v>OK</v>
      </c>
      <c r="AL345" t="str">
        <f t="shared" si="84"/>
        <v>OK</v>
      </c>
      <c r="AM345" t="str">
        <f t="shared" si="85"/>
        <v>ERROR</v>
      </c>
      <c r="AN345" t="str">
        <f t="shared" si="86"/>
        <v>OK</v>
      </c>
      <c r="AO345" t="str">
        <f t="shared" si="87"/>
        <v>OK</v>
      </c>
      <c r="AP345" t="str">
        <f t="shared" si="88"/>
        <v>OK</v>
      </c>
      <c r="AQ345" t="str">
        <f t="shared" si="89"/>
        <v>OK</v>
      </c>
    </row>
    <row r="346" spans="1:43" x14ac:dyDescent="0.3">
      <c r="A346" t="s">
        <v>1473</v>
      </c>
      <c r="B346" s="1">
        <v>45656</v>
      </c>
      <c r="C346" t="s">
        <v>1474</v>
      </c>
      <c r="D346" t="s">
        <v>25</v>
      </c>
      <c r="E346" t="s">
        <v>1475</v>
      </c>
      <c r="F346" t="s">
        <v>27</v>
      </c>
      <c r="G346" t="s">
        <v>1476</v>
      </c>
      <c r="H346">
        <v>2199</v>
      </c>
      <c r="I346">
        <v>1</v>
      </c>
      <c r="J346">
        <v>2199</v>
      </c>
      <c r="K346" t="s">
        <v>29</v>
      </c>
      <c r="L346">
        <v>0</v>
      </c>
      <c r="M346" t="s">
        <v>65</v>
      </c>
      <c r="N346" t="s">
        <v>66</v>
      </c>
      <c r="O346" t="s">
        <v>119</v>
      </c>
      <c r="P346" t="s">
        <v>120</v>
      </c>
      <c r="Q346" t="s">
        <v>46</v>
      </c>
      <c r="R346" s="1">
        <v>45684</v>
      </c>
      <c r="S346" t="s">
        <v>34</v>
      </c>
      <c r="T346" t="s">
        <v>47</v>
      </c>
      <c r="U346" t="s">
        <v>139</v>
      </c>
      <c r="V346" s="1">
        <v>45711</v>
      </c>
      <c r="W346" t="s">
        <v>49</v>
      </c>
      <c r="AB346" s="2">
        <f t="shared" si="75"/>
        <v>1</v>
      </c>
      <c r="AC346">
        <f t="shared" si="76"/>
        <v>0</v>
      </c>
      <c r="AD346">
        <f t="shared" si="77"/>
        <v>2</v>
      </c>
      <c r="AE346" t="str">
        <f t="shared" si="78"/>
        <v>OK</v>
      </c>
      <c r="AF346" t="str">
        <f t="shared" si="79"/>
        <v>OK</v>
      </c>
      <c r="AG346" t="str">
        <f t="shared" si="80"/>
        <v>OK</v>
      </c>
      <c r="AI346" t="str">
        <f t="shared" si="81"/>
        <v>ERROR</v>
      </c>
      <c r="AJ346" t="str">
        <f t="shared" si="82"/>
        <v>OK</v>
      </c>
      <c r="AK346" t="str">
        <f t="shared" si="83"/>
        <v>OK</v>
      </c>
      <c r="AL346" t="str">
        <f t="shared" si="84"/>
        <v>OK</v>
      </c>
      <c r="AM346" t="str">
        <f t="shared" si="85"/>
        <v>OK</v>
      </c>
      <c r="AN346" t="str">
        <f t="shared" si="86"/>
        <v>OK</v>
      </c>
      <c r="AO346" t="str">
        <f t="shared" si="87"/>
        <v>OK</v>
      </c>
      <c r="AP346" t="str">
        <f t="shared" si="88"/>
        <v>OK</v>
      </c>
      <c r="AQ346" t="str">
        <f t="shared" si="89"/>
        <v>OK</v>
      </c>
    </row>
    <row r="347" spans="1:43" x14ac:dyDescent="0.3">
      <c r="A347" t="s">
        <v>1477</v>
      </c>
      <c r="B347" s="1">
        <v>45657</v>
      </c>
      <c r="C347" t="s">
        <v>1478</v>
      </c>
      <c r="D347" t="s">
        <v>25</v>
      </c>
      <c r="E347" t="s">
        <v>1479</v>
      </c>
      <c r="F347" t="s">
        <v>41</v>
      </c>
      <c r="G347" t="s">
        <v>1162</v>
      </c>
      <c r="H347">
        <v>4499</v>
      </c>
      <c r="I347">
        <v>1</v>
      </c>
      <c r="J347">
        <v>4499</v>
      </c>
      <c r="K347" t="s">
        <v>996</v>
      </c>
      <c r="L347">
        <v>20</v>
      </c>
      <c r="M347" t="s">
        <v>44</v>
      </c>
      <c r="N347" t="s">
        <v>31</v>
      </c>
      <c r="O347" t="s">
        <v>138</v>
      </c>
      <c r="P347" t="s">
        <v>114</v>
      </c>
      <c r="Q347" t="s">
        <v>46</v>
      </c>
      <c r="R347" s="1">
        <v>45685</v>
      </c>
      <c r="S347" t="s">
        <v>34</v>
      </c>
      <c r="T347" t="s">
        <v>47</v>
      </c>
      <c r="U347" t="s">
        <v>48</v>
      </c>
      <c r="V347" s="1">
        <v>45713</v>
      </c>
      <c r="W347" t="s">
        <v>49</v>
      </c>
      <c r="AB347" s="2">
        <f t="shared" si="75"/>
        <v>1</v>
      </c>
      <c r="AC347">
        <f t="shared" si="76"/>
        <v>0</v>
      </c>
      <c r="AD347">
        <f t="shared" si="77"/>
        <v>2</v>
      </c>
      <c r="AE347" t="str">
        <f t="shared" si="78"/>
        <v>OK</v>
      </c>
      <c r="AF347" t="str">
        <f t="shared" si="79"/>
        <v>OK</v>
      </c>
      <c r="AG347" t="str">
        <f t="shared" si="80"/>
        <v>OK</v>
      </c>
      <c r="AI347" t="str">
        <f t="shared" si="81"/>
        <v>ERROR</v>
      </c>
      <c r="AJ347" t="str">
        <f t="shared" si="82"/>
        <v>OK</v>
      </c>
      <c r="AK347" t="str">
        <f t="shared" si="83"/>
        <v>OK</v>
      </c>
      <c r="AL347" t="str">
        <f t="shared" si="84"/>
        <v>OK</v>
      </c>
      <c r="AM347" t="str">
        <f t="shared" si="85"/>
        <v>OK</v>
      </c>
      <c r="AN347" t="str">
        <f t="shared" si="86"/>
        <v>OK</v>
      </c>
      <c r="AO347" t="str">
        <f t="shared" si="87"/>
        <v>OK</v>
      </c>
      <c r="AP347" t="str">
        <f t="shared" si="88"/>
        <v>OK</v>
      </c>
      <c r="AQ347" t="str">
        <f t="shared" si="89"/>
        <v>OK</v>
      </c>
    </row>
  </sheetData>
  <autoFilter ref="AA1:AO347" xr:uid="{4F232863-572D-4B28-8987-00FF5CC96149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7482-931B-4754-96FC-AEF8F6BC254A}">
  <dimension ref="A1:L19"/>
  <sheetViews>
    <sheetView zoomScale="99" zoomScaleNormal="99" workbookViewId="0">
      <selection activeCell="D23" sqref="D23"/>
    </sheetView>
  </sheetViews>
  <sheetFormatPr defaultRowHeight="14.4" x14ac:dyDescent="0.3"/>
  <cols>
    <col min="2" max="2" width="26.88671875" customWidth="1"/>
    <col min="3" max="3" width="13.77734375" customWidth="1"/>
    <col min="4" max="4" width="44.88671875" customWidth="1"/>
    <col min="5" max="5" width="66.21875" customWidth="1"/>
    <col min="6" max="6" width="41.109375" customWidth="1"/>
  </cols>
  <sheetData>
    <row r="1" spans="1:12" x14ac:dyDescent="0.3">
      <c r="A1" s="35" t="s">
        <v>1480</v>
      </c>
      <c r="B1" s="35" t="s">
        <v>1481</v>
      </c>
      <c r="C1" s="35" t="s">
        <v>1482</v>
      </c>
      <c r="D1" s="35" t="s">
        <v>1483</v>
      </c>
      <c r="E1" s="35" t="s">
        <v>1484</v>
      </c>
      <c r="F1" s="35" t="s">
        <v>1485</v>
      </c>
    </row>
    <row r="2" spans="1:12" x14ac:dyDescent="0.3">
      <c r="A2" s="36" t="s">
        <v>1486</v>
      </c>
      <c r="B2" s="36" t="s">
        <v>20</v>
      </c>
      <c r="C2" s="36" t="s">
        <v>1487</v>
      </c>
      <c r="D2" s="36" t="s">
        <v>1488</v>
      </c>
      <c r="E2" s="36" t="s">
        <v>1489</v>
      </c>
      <c r="F2" s="36" t="s">
        <v>1490</v>
      </c>
    </row>
    <row r="3" spans="1:12" x14ac:dyDescent="0.3">
      <c r="A3" s="36" t="s">
        <v>1491</v>
      </c>
      <c r="B3" s="36" t="s">
        <v>1492</v>
      </c>
      <c r="C3" s="36" t="s">
        <v>1487</v>
      </c>
      <c r="D3" s="36" t="s">
        <v>1493</v>
      </c>
      <c r="E3" s="36" t="s">
        <v>1494</v>
      </c>
      <c r="F3" s="36" t="s">
        <v>1495</v>
      </c>
    </row>
    <row r="4" spans="1:12" x14ac:dyDescent="0.3">
      <c r="A4" s="36" t="s">
        <v>1496</v>
      </c>
      <c r="B4" s="36" t="s">
        <v>10</v>
      </c>
      <c r="C4" s="36" t="s">
        <v>1487</v>
      </c>
      <c r="D4" s="36" t="s">
        <v>1498</v>
      </c>
      <c r="E4" s="36" t="s">
        <v>1499</v>
      </c>
      <c r="F4" s="36" t="s">
        <v>1500</v>
      </c>
    </row>
    <row r="5" spans="1:12" x14ac:dyDescent="0.3">
      <c r="A5" s="36" t="s">
        <v>1497</v>
      </c>
      <c r="B5" s="36" t="s">
        <v>21</v>
      </c>
      <c r="C5" s="36" t="s">
        <v>1487</v>
      </c>
      <c r="D5" s="36" t="s">
        <v>1503</v>
      </c>
      <c r="E5" s="36" t="s">
        <v>1502</v>
      </c>
      <c r="F5" s="36" t="s">
        <v>1501</v>
      </c>
    </row>
    <row r="6" spans="1:12" x14ac:dyDescent="0.3">
      <c r="A6" s="36" t="s">
        <v>1505</v>
      </c>
      <c r="B6" s="36" t="s">
        <v>0</v>
      </c>
      <c r="C6" s="36" t="s">
        <v>1506</v>
      </c>
      <c r="D6" s="36" t="s">
        <v>1507</v>
      </c>
      <c r="E6" s="36" t="s">
        <v>1508</v>
      </c>
      <c r="F6" s="36" t="s">
        <v>1509</v>
      </c>
    </row>
    <row r="7" spans="1:12" ht="13.8" customHeight="1" x14ac:dyDescent="0.3">
      <c r="A7" s="36" t="s">
        <v>1510</v>
      </c>
      <c r="B7" s="36" t="s">
        <v>1511</v>
      </c>
      <c r="C7" s="36" t="s">
        <v>1512</v>
      </c>
      <c r="D7" s="36" t="s">
        <v>1513</v>
      </c>
      <c r="E7" s="36" t="s">
        <v>1508</v>
      </c>
      <c r="F7" s="37" t="s">
        <v>1514</v>
      </c>
    </row>
    <row r="8" spans="1:12" x14ac:dyDescent="0.3">
      <c r="A8" s="36" t="s">
        <v>1515</v>
      </c>
      <c r="B8" s="38" t="s">
        <v>18</v>
      </c>
      <c r="C8" s="38" t="s">
        <v>1512</v>
      </c>
      <c r="D8" s="38" t="s">
        <v>1516</v>
      </c>
      <c r="E8" s="38" t="s">
        <v>1508</v>
      </c>
      <c r="F8" s="38" t="s">
        <v>1517</v>
      </c>
    </row>
    <row r="9" spans="1:12" x14ac:dyDescent="0.3">
      <c r="A9" s="39" t="s">
        <v>1519</v>
      </c>
      <c r="B9" s="34" t="s">
        <v>4</v>
      </c>
      <c r="C9" s="34" t="s">
        <v>1512</v>
      </c>
      <c r="D9" s="34" t="s">
        <v>1521</v>
      </c>
      <c r="E9" s="34" t="s">
        <v>1508</v>
      </c>
      <c r="F9" s="34" t="s">
        <v>1520</v>
      </c>
    </row>
    <row r="10" spans="1:12" x14ac:dyDescent="0.3">
      <c r="A10" s="39" t="s">
        <v>1522</v>
      </c>
      <c r="B10" s="34" t="s">
        <v>1526</v>
      </c>
      <c r="C10" s="34" t="s">
        <v>1527</v>
      </c>
      <c r="D10" s="34" t="s">
        <v>1528</v>
      </c>
      <c r="E10" s="34" t="s">
        <v>1508</v>
      </c>
      <c r="F10" s="34" t="s">
        <v>1529</v>
      </c>
    </row>
    <row r="11" spans="1:12" x14ac:dyDescent="0.3">
      <c r="A11" s="39" t="s">
        <v>1523</v>
      </c>
      <c r="B11" s="34" t="s">
        <v>1534</v>
      </c>
      <c r="C11" s="34" t="s">
        <v>1527</v>
      </c>
      <c r="D11" s="34" t="s">
        <v>1533</v>
      </c>
      <c r="E11" s="34" t="s">
        <v>1508</v>
      </c>
      <c r="F11" s="34" t="s">
        <v>1530</v>
      </c>
    </row>
    <row r="12" spans="1:12" x14ac:dyDescent="0.3">
      <c r="A12" s="39" t="s">
        <v>1524</v>
      </c>
      <c r="B12" s="34" t="s">
        <v>1535</v>
      </c>
      <c r="C12" s="34" t="s">
        <v>1527</v>
      </c>
      <c r="D12" s="34" t="s">
        <v>1532</v>
      </c>
      <c r="E12" s="34" t="s">
        <v>1508</v>
      </c>
      <c r="F12" s="34" t="s">
        <v>1531</v>
      </c>
    </row>
    <row r="13" spans="1:12" x14ac:dyDescent="0.3">
      <c r="A13" s="39" t="s">
        <v>1525</v>
      </c>
      <c r="B13" s="34" t="s">
        <v>1537</v>
      </c>
      <c r="C13" s="34" t="s">
        <v>1538</v>
      </c>
      <c r="D13" s="34" t="s">
        <v>1539</v>
      </c>
      <c r="E13" s="34" t="s">
        <v>1540</v>
      </c>
      <c r="F13" s="34" t="s">
        <v>1541</v>
      </c>
    </row>
    <row r="14" spans="1:12" x14ac:dyDescent="0.3">
      <c r="A14" s="39" t="s">
        <v>1536</v>
      </c>
      <c r="B14" s="34" t="s">
        <v>1542</v>
      </c>
      <c r="C14" s="34" t="s">
        <v>1538</v>
      </c>
      <c r="D14" s="34" t="s">
        <v>1543</v>
      </c>
      <c r="E14" s="34" t="s">
        <v>1545</v>
      </c>
      <c r="F14" s="34" t="s">
        <v>1544</v>
      </c>
    </row>
    <row r="15" spans="1:12" x14ac:dyDescent="0.3">
      <c r="A15" s="40" t="s">
        <v>1556</v>
      </c>
      <c r="B15" s="41" t="s">
        <v>1526</v>
      </c>
      <c r="C15" s="41" t="s">
        <v>1557</v>
      </c>
      <c r="D15" s="41" t="s">
        <v>1558</v>
      </c>
      <c r="E15" s="42" t="s">
        <v>1559</v>
      </c>
      <c r="F15" s="42" t="s">
        <v>1560</v>
      </c>
    </row>
    <row r="16" spans="1:12" x14ac:dyDescent="0.3">
      <c r="A16" s="40" t="s">
        <v>1565</v>
      </c>
      <c r="B16" s="43" t="s">
        <v>1</v>
      </c>
      <c r="C16" s="34" t="s">
        <v>1557</v>
      </c>
      <c r="D16" s="34" t="s">
        <v>1566</v>
      </c>
      <c r="E16" s="34" t="s">
        <v>1567</v>
      </c>
      <c r="F16" s="34"/>
      <c r="L16" s="2"/>
    </row>
    <row r="18" spans="2:4" x14ac:dyDescent="0.3">
      <c r="B18" t="s">
        <v>1518</v>
      </c>
    </row>
    <row r="19" spans="2:4" x14ac:dyDescent="0.3">
      <c r="D19" s="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A6DF-6674-4E9A-9F39-5BF3965BD70F}">
  <dimension ref="A1:E14"/>
  <sheetViews>
    <sheetView workbookViewId="0">
      <selection activeCell="B16" sqref="B16"/>
    </sheetView>
  </sheetViews>
  <sheetFormatPr defaultRowHeight="14.4" x14ac:dyDescent="0.3"/>
  <cols>
    <col min="2" max="2" width="53.77734375" customWidth="1"/>
    <col min="3" max="3" width="11.109375" customWidth="1"/>
    <col min="5" max="5" width="12.109375" customWidth="1"/>
  </cols>
  <sheetData>
    <row r="1" spans="1:5" x14ac:dyDescent="0.3">
      <c r="A1" s="44" t="s">
        <v>1546</v>
      </c>
      <c r="B1" s="44" t="s">
        <v>1547</v>
      </c>
      <c r="C1" s="44" t="s">
        <v>1548</v>
      </c>
      <c r="D1" s="44" t="s">
        <v>18</v>
      </c>
      <c r="E1" s="44" t="s">
        <v>1549</v>
      </c>
    </row>
    <row r="2" spans="1:5" x14ac:dyDescent="0.3">
      <c r="A2" s="45" t="s">
        <v>1550</v>
      </c>
      <c r="B2" s="45" t="s">
        <v>1551</v>
      </c>
      <c r="C2" s="45">
        <f>COUNTIF(Raw_Data!A2:A347,"UT-??????")</f>
        <v>346</v>
      </c>
      <c r="D2" s="45" t="str">
        <f t="shared" ref="D2:D11" si="0">IF(E2=0,"PASS","FAIL")</f>
        <v>PASS</v>
      </c>
      <c r="E2" s="45">
        <f>COUNTA(Raw_Data!A2:A347)-C2</f>
        <v>0</v>
      </c>
    </row>
    <row r="3" spans="1:5" x14ac:dyDescent="0.3">
      <c r="A3" s="45" t="s">
        <v>1552</v>
      </c>
      <c r="B3" s="45" t="s">
        <v>1553</v>
      </c>
      <c r="C3" s="45">
        <f>COUNTIF(Raw_Data!D2:D347,"New")+COUNTIF(Raw_Data!D2:D347,"Returning")</f>
        <v>346</v>
      </c>
      <c r="D3" s="45" t="str">
        <f t="shared" si="0"/>
        <v>PASS</v>
      </c>
      <c r="E3" s="45">
        <f>COUNTA(Raw_Data!D2:D347)-C3</f>
        <v>0</v>
      </c>
    </row>
    <row r="4" spans="1:5" x14ac:dyDescent="0.3">
      <c r="A4" s="45" t="s">
        <v>1554</v>
      </c>
      <c r="B4" s="45" t="s">
        <v>1555</v>
      </c>
      <c r="C4" s="45" cm="1">
        <f t="array" ref="C4">SUMPRODUCT(--(Raw_Data!I2:I347&gt;0),--(MOD(Raw_Data!I2:I347,1)=0))</f>
        <v>345</v>
      </c>
      <c r="D4" s="45" t="str">
        <f t="shared" si="0"/>
        <v>FAIL</v>
      </c>
      <c r="E4" s="45">
        <f>COUNTA(Raw_Data!I2:I347)-C4</f>
        <v>1</v>
      </c>
    </row>
    <row r="5" spans="1:5" x14ac:dyDescent="0.3">
      <c r="A5" s="45" t="s">
        <v>1561</v>
      </c>
      <c r="B5" s="45" t="s">
        <v>1562</v>
      </c>
      <c r="C5" s="45">
        <f>COUNTIFS(Raw_Data!L2:L347,"&gt;=0",Raw_Data!L2:L347,"&lt;=100")</f>
        <v>346</v>
      </c>
      <c r="D5" s="45" t="str">
        <f t="shared" si="0"/>
        <v>PASS</v>
      </c>
      <c r="E5" s="45">
        <f>COUNTA(Raw_Data!L2:L347)-C5</f>
        <v>0</v>
      </c>
    </row>
    <row r="6" spans="1:5" x14ac:dyDescent="0.3">
      <c r="A6" s="45" t="s">
        <v>1563</v>
      </c>
      <c r="B6" s="45" t="s">
        <v>1564</v>
      </c>
      <c r="C6" s="45">
        <f>COUNTIFS(Raw_Data!B2:B347,"&gt;="&amp;DATE(2024,10,1),Raw_Data!B2:B347,"&lt;="&amp;DATE(2024,12,31))</f>
        <v>345</v>
      </c>
      <c r="D6" s="45" t="str">
        <f t="shared" si="0"/>
        <v>FAIL</v>
      </c>
      <c r="E6" s="45">
        <f>COUNTA(Raw_Data!B2:B347)-C6</f>
        <v>1</v>
      </c>
    </row>
    <row r="7" spans="1:5" x14ac:dyDescent="0.3">
      <c r="A7" s="45" t="s">
        <v>1568</v>
      </c>
      <c r="B7" s="45" t="s">
        <v>1569</v>
      </c>
      <c r="C7" s="45">
        <f>COUNTIF(Raw_Data!M2:M347,"UPI")
 +COUNTIF(Raw_Data!M2:M347,"Credit Card")
 +COUNTIF(Raw_Data!M2:M347,"Debit Card")
 +COUNTIF(Raw_Data!M2:M347,"Wallet")
 +COUNTIF(Raw_Data!M2:M347,"COD")</f>
        <v>346</v>
      </c>
      <c r="D7" s="45" t="str">
        <f t="shared" si="0"/>
        <v>PASS</v>
      </c>
      <c r="E7" s="45">
        <f>COUNTA(Raw_Data!M2:M347)-C7</f>
        <v>0</v>
      </c>
    </row>
    <row r="8" spans="1:5" x14ac:dyDescent="0.3">
      <c r="A8" s="45" t="s">
        <v>1570</v>
      </c>
      <c r="B8" s="45" t="s">
        <v>1574</v>
      </c>
      <c r="C8" s="45" cm="1">
        <f t="array" ref="C8">SUMPRODUCT(--(TRIM(Raw_Data!S2:S347)="Delivered")
           +--(TRIM(Raw_Data!S2:S347)="Cancelled")
           +--(TRIM(Raw_Data!S2:S347)="RTO")
           +--(TRIM(Raw_Data!S2:S347)="In Transit"))</f>
        <v>345</v>
      </c>
      <c r="D8" s="45" t="str">
        <f t="shared" si="0"/>
        <v>PASS</v>
      </c>
      <c r="E8" s="45">
        <f>COUNTA(Raw_Data!S2:S347)-C7</f>
        <v>0</v>
      </c>
    </row>
    <row r="9" spans="1:5" x14ac:dyDescent="0.3">
      <c r="A9" s="45" t="s">
        <v>1571</v>
      </c>
      <c r="B9" s="45" t="s">
        <v>1575</v>
      </c>
      <c r="C9" s="45" cm="1">
        <f t="array" ref="C9">SUMPRODUCT(--(Raw_Data!T2:T347="No"),--(Raw_Data!U2:U347&lt;&gt;""))</f>
        <v>0</v>
      </c>
      <c r="D9" s="45" t="str">
        <f t="shared" si="0"/>
        <v>PASS</v>
      </c>
      <c r="E9" s="45">
        <f>C9</f>
        <v>0</v>
      </c>
    </row>
    <row r="10" spans="1:5" x14ac:dyDescent="0.3">
      <c r="A10" s="45" t="s">
        <v>1572</v>
      </c>
      <c r="B10" s="45" t="s">
        <v>1576</v>
      </c>
      <c r="C10" s="45">
        <f>COUNTIF(Raw_Data!Q2:Q347,"Mumbai")
+COUNTIF(Raw_Data!Q2:Q347,"Delhi")
+COUNTIF(Raw_Data!Q2:Q347,"Bangalore")</f>
        <v>346</v>
      </c>
      <c r="D10" s="45" t="str">
        <f t="shared" si="0"/>
        <v>PASS</v>
      </c>
      <c r="E10" s="45">
        <f>COUNTA(Raw_Data!Q2:Q347)-C10</f>
        <v>0</v>
      </c>
    </row>
    <row r="11" spans="1:5" x14ac:dyDescent="0.3">
      <c r="A11" s="45" t="s">
        <v>1573</v>
      </c>
      <c r="B11" s="45" t="s">
        <v>1577</v>
      </c>
      <c r="C11" s="45" cm="1">
        <f t="array" ref="C11">SUMPRODUCT(--(Raw_Data!T2:T347="No"),--(Raw_Data!W2:W347&lt;&gt;"Not Applicable"))</f>
        <v>0</v>
      </c>
      <c r="D11" s="45" t="str">
        <f t="shared" si="0"/>
        <v>PASS</v>
      </c>
      <c r="E11" s="45">
        <f>C11</f>
        <v>0</v>
      </c>
    </row>
    <row r="14" spans="1:5" x14ac:dyDescent="0.3">
      <c r="B14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2335-2BA3-4037-BDD3-764AAB410905}">
  <dimension ref="A3:B112"/>
  <sheetViews>
    <sheetView workbookViewId="0">
      <selection activeCell="J11" sqref="J11"/>
    </sheetView>
  </sheetViews>
  <sheetFormatPr defaultRowHeight="14.4" x14ac:dyDescent="0.3"/>
  <cols>
    <col min="1" max="1" width="23.5546875" bestFit="1" customWidth="1"/>
    <col min="2" max="2" width="15.88671875" bestFit="1" customWidth="1"/>
  </cols>
  <sheetData>
    <row r="3" spans="1:2" x14ac:dyDescent="0.3">
      <c r="A3" s="6" t="s">
        <v>1587</v>
      </c>
      <c r="B3" t="s">
        <v>1589</v>
      </c>
    </row>
    <row r="4" spans="1:2" x14ac:dyDescent="0.3">
      <c r="A4" s="7" t="s">
        <v>1590</v>
      </c>
      <c r="B4" s="9">
        <v>1</v>
      </c>
    </row>
    <row r="5" spans="1:2" x14ac:dyDescent="0.3">
      <c r="A5" s="8">
        <v>45301</v>
      </c>
      <c r="B5" s="9">
        <v>1</v>
      </c>
    </row>
    <row r="6" spans="1:2" x14ac:dyDescent="0.3">
      <c r="A6" s="7" t="s">
        <v>1591</v>
      </c>
      <c r="B6" s="9">
        <v>4</v>
      </c>
    </row>
    <row r="7" spans="1:2" x14ac:dyDescent="0.3">
      <c r="A7" s="8">
        <v>45566</v>
      </c>
      <c r="B7" s="9">
        <v>4</v>
      </c>
    </row>
    <row r="8" spans="1:2" x14ac:dyDescent="0.3">
      <c r="A8" s="7" t="s">
        <v>1592</v>
      </c>
      <c r="B8" s="9">
        <v>30</v>
      </c>
    </row>
    <row r="9" spans="1:2" x14ac:dyDescent="0.3">
      <c r="A9" s="8">
        <v>45567</v>
      </c>
      <c r="B9" s="9">
        <v>5</v>
      </c>
    </row>
    <row r="10" spans="1:2" x14ac:dyDescent="0.3">
      <c r="A10" s="8">
        <v>45568</v>
      </c>
      <c r="B10" s="9">
        <v>5</v>
      </c>
    </row>
    <row r="11" spans="1:2" x14ac:dyDescent="0.3">
      <c r="A11" s="8">
        <v>45569</v>
      </c>
      <c r="B11" s="9">
        <v>4</v>
      </c>
    </row>
    <row r="12" spans="1:2" x14ac:dyDescent="0.3">
      <c r="A12" s="8">
        <v>45570</v>
      </c>
      <c r="B12" s="9">
        <v>4</v>
      </c>
    </row>
    <row r="13" spans="1:2" x14ac:dyDescent="0.3">
      <c r="A13" s="8">
        <v>45571</v>
      </c>
      <c r="B13" s="9">
        <v>4</v>
      </c>
    </row>
    <row r="14" spans="1:2" x14ac:dyDescent="0.3">
      <c r="A14" s="8">
        <v>45572</v>
      </c>
      <c r="B14" s="9">
        <v>4</v>
      </c>
    </row>
    <row r="15" spans="1:2" x14ac:dyDescent="0.3">
      <c r="A15" s="8">
        <v>45573</v>
      </c>
      <c r="B15" s="9">
        <v>4</v>
      </c>
    </row>
    <row r="16" spans="1:2" x14ac:dyDescent="0.3">
      <c r="A16" s="7" t="s">
        <v>1593</v>
      </c>
      <c r="B16" s="9">
        <v>29</v>
      </c>
    </row>
    <row r="17" spans="1:2" x14ac:dyDescent="0.3">
      <c r="A17" s="8">
        <v>45574</v>
      </c>
      <c r="B17" s="9">
        <v>4</v>
      </c>
    </row>
    <row r="18" spans="1:2" x14ac:dyDescent="0.3">
      <c r="A18" s="8">
        <v>45575</v>
      </c>
      <c r="B18" s="9">
        <v>5</v>
      </c>
    </row>
    <row r="19" spans="1:2" x14ac:dyDescent="0.3">
      <c r="A19" s="8">
        <v>45576</v>
      </c>
      <c r="B19" s="9">
        <v>4</v>
      </c>
    </row>
    <row r="20" spans="1:2" x14ac:dyDescent="0.3">
      <c r="A20" s="8">
        <v>45577</v>
      </c>
      <c r="B20" s="9">
        <v>4</v>
      </c>
    </row>
    <row r="21" spans="1:2" x14ac:dyDescent="0.3">
      <c r="A21" s="8">
        <v>45578</v>
      </c>
      <c r="B21" s="9">
        <v>4</v>
      </c>
    </row>
    <row r="22" spans="1:2" x14ac:dyDescent="0.3">
      <c r="A22" s="8">
        <v>45579</v>
      </c>
      <c r="B22" s="9">
        <v>4</v>
      </c>
    </row>
    <row r="23" spans="1:2" x14ac:dyDescent="0.3">
      <c r="A23" s="8">
        <v>45580</v>
      </c>
      <c r="B23" s="9">
        <v>4</v>
      </c>
    </row>
    <row r="24" spans="1:2" x14ac:dyDescent="0.3">
      <c r="A24" s="7" t="s">
        <v>1594</v>
      </c>
      <c r="B24" s="9">
        <v>28</v>
      </c>
    </row>
    <row r="25" spans="1:2" x14ac:dyDescent="0.3">
      <c r="A25" s="8">
        <v>45581</v>
      </c>
      <c r="B25" s="9">
        <v>4</v>
      </c>
    </row>
    <row r="26" spans="1:2" x14ac:dyDescent="0.3">
      <c r="A26" s="8">
        <v>45582</v>
      </c>
      <c r="B26" s="9">
        <v>4</v>
      </c>
    </row>
    <row r="27" spans="1:2" x14ac:dyDescent="0.3">
      <c r="A27" s="8">
        <v>45583</v>
      </c>
      <c r="B27" s="9">
        <v>4</v>
      </c>
    </row>
    <row r="28" spans="1:2" x14ac:dyDescent="0.3">
      <c r="A28" s="8">
        <v>45584</v>
      </c>
      <c r="B28" s="9">
        <v>4</v>
      </c>
    </row>
    <row r="29" spans="1:2" x14ac:dyDescent="0.3">
      <c r="A29" s="8">
        <v>45585</v>
      </c>
      <c r="B29" s="9">
        <v>4</v>
      </c>
    </row>
    <row r="30" spans="1:2" x14ac:dyDescent="0.3">
      <c r="A30" s="8">
        <v>45586</v>
      </c>
      <c r="B30" s="9">
        <v>4</v>
      </c>
    </row>
    <row r="31" spans="1:2" x14ac:dyDescent="0.3">
      <c r="A31" s="8">
        <v>45587</v>
      </c>
      <c r="B31" s="9">
        <v>4</v>
      </c>
    </row>
    <row r="32" spans="1:2" x14ac:dyDescent="0.3">
      <c r="A32" s="7" t="s">
        <v>1595</v>
      </c>
      <c r="B32" s="9">
        <v>30</v>
      </c>
    </row>
    <row r="33" spans="1:2" x14ac:dyDescent="0.3">
      <c r="A33" s="8">
        <v>45588</v>
      </c>
      <c r="B33" s="9">
        <v>4</v>
      </c>
    </row>
    <row r="34" spans="1:2" x14ac:dyDescent="0.3">
      <c r="A34" s="8">
        <v>45589</v>
      </c>
      <c r="B34" s="9">
        <v>4</v>
      </c>
    </row>
    <row r="35" spans="1:2" x14ac:dyDescent="0.3">
      <c r="A35" s="8">
        <v>45590</v>
      </c>
      <c r="B35" s="9">
        <v>4</v>
      </c>
    </row>
    <row r="36" spans="1:2" x14ac:dyDescent="0.3">
      <c r="A36" s="8">
        <v>45591</v>
      </c>
      <c r="B36" s="9">
        <v>4</v>
      </c>
    </row>
    <row r="37" spans="1:2" x14ac:dyDescent="0.3">
      <c r="A37" s="8">
        <v>45592</v>
      </c>
      <c r="B37" s="9">
        <v>3</v>
      </c>
    </row>
    <row r="38" spans="1:2" x14ac:dyDescent="0.3">
      <c r="A38" s="8">
        <v>45593</v>
      </c>
      <c r="B38" s="9">
        <v>5</v>
      </c>
    </row>
    <row r="39" spans="1:2" x14ac:dyDescent="0.3">
      <c r="A39" s="8">
        <v>45594</v>
      </c>
      <c r="B39" s="9">
        <v>6</v>
      </c>
    </row>
    <row r="40" spans="1:2" x14ac:dyDescent="0.3">
      <c r="A40" s="7" t="s">
        <v>1596</v>
      </c>
      <c r="B40" s="9">
        <v>29</v>
      </c>
    </row>
    <row r="41" spans="1:2" x14ac:dyDescent="0.3">
      <c r="A41" s="8">
        <v>45595</v>
      </c>
      <c r="B41" s="9">
        <v>5</v>
      </c>
    </row>
    <row r="42" spans="1:2" x14ac:dyDescent="0.3">
      <c r="A42" s="8">
        <v>45596</v>
      </c>
      <c r="B42" s="9">
        <v>5</v>
      </c>
    </row>
    <row r="43" spans="1:2" x14ac:dyDescent="0.3">
      <c r="A43" s="8">
        <v>45597</v>
      </c>
      <c r="B43" s="9">
        <v>4</v>
      </c>
    </row>
    <row r="44" spans="1:2" x14ac:dyDescent="0.3">
      <c r="A44" s="8">
        <v>45598</v>
      </c>
      <c r="B44" s="9">
        <v>4</v>
      </c>
    </row>
    <row r="45" spans="1:2" x14ac:dyDescent="0.3">
      <c r="A45" s="8">
        <v>45599</v>
      </c>
      <c r="B45" s="9">
        <v>4</v>
      </c>
    </row>
    <row r="46" spans="1:2" x14ac:dyDescent="0.3">
      <c r="A46" s="8">
        <v>45600</v>
      </c>
      <c r="B46" s="9">
        <v>3</v>
      </c>
    </row>
    <row r="47" spans="1:2" x14ac:dyDescent="0.3">
      <c r="A47" s="8">
        <v>45601</v>
      </c>
      <c r="B47" s="9">
        <v>4</v>
      </c>
    </row>
    <row r="48" spans="1:2" x14ac:dyDescent="0.3">
      <c r="A48" s="7" t="s">
        <v>1597</v>
      </c>
      <c r="B48" s="9">
        <v>20</v>
      </c>
    </row>
    <row r="49" spans="1:2" x14ac:dyDescent="0.3">
      <c r="A49" s="8">
        <v>45602</v>
      </c>
      <c r="B49" s="9">
        <v>3</v>
      </c>
    </row>
    <row r="50" spans="1:2" x14ac:dyDescent="0.3">
      <c r="A50" s="8">
        <v>45603</v>
      </c>
      <c r="B50" s="9">
        <v>3</v>
      </c>
    </row>
    <row r="51" spans="1:2" x14ac:dyDescent="0.3">
      <c r="A51" s="8">
        <v>45604</v>
      </c>
      <c r="B51" s="9">
        <v>3</v>
      </c>
    </row>
    <row r="52" spans="1:2" x14ac:dyDescent="0.3">
      <c r="A52" s="8">
        <v>45605</v>
      </c>
      <c r="B52" s="9">
        <v>3</v>
      </c>
    </row>
    <row r="53" spans="1:2" x14ac:dyDescent="0.3">
      <c r="A53" s="8">
        <v>45606</v>
      </c>
      <c r="B53" s="9">
        <v>2</v>
      </c>
    </row>
    <row r="54" spans="1:2" x14ac:dyDescent="0.3">
      <c r="A54" s="8">
        <v>45607</v>
      </c>
      <c r="B54" s="9">
        <v>3</v>
      </c>
    </row>
    <row r="55" spans="1:2" x14ac:dyDescent="0.3">
      <c r="A55" s="8">
        <v>45608</v>
      </c>
      <c r="B55" s="9">
        <v>3</v>
      </c>
    </row>
    <row r="56" spans="1:2" x14ac:dyDescent="0.3">
      <c r="A56" s="7" t="s">
        <v>1598</v>
      </c>
      <c r="B56" s="9">
        <v>21</v>
      </c>
    </row>
    <row r="57" spans="1:2" x14ac:dyDescent="0.3">
      <c r="A57" s="8">
        <v>45609</v>
      </c>
      <c r="B57" s="9">
        <v>3</v>
      </c>
    </row>
    <row r="58" spans="1:2" x14ac:dyDescent="0.3">
      <c r="A58" s="8">
        <v>45610</v>
      </c>
      <c r="B58" s="9">
        <v>3</v>
      </c>
    </row>
    <row r="59" spans="1:2" x14ac:dyDescent="0.3">
      <c r="A59" s="8">
        <v>45611</v>
      </c>
      <c r="B59" s="9">
        <v>3</v>
      </c>
    </row>
    <row r="60" spans="1:2" x14ac:dyDescent="0.3">
      <c r="A60" s="8">
        <v>45612</v>
      </c>
      <c r="B60" s="9">
        <v>3</v>
      </c>
    </row>
    <row r="61" spans="1:2" x14ac:dyDescent="0.3">
      <c r="A61" s="8">
        <v>45613</v>
      </c>
      <c r="B61" s="9">
        <v>3</v>
      </c>
    </row>
    <row r="62" spans="1:2" x14ac:dyDescent="0.3">
      <c r="A62" s="8">
        <v>45614</v>
      </c>
      <c r="B62" s="9">
        <v>3</v>
      </c>
    </row>
    <row r="63" spans="1:2" x14ac:dyDescent="0.3">
      <c r="A63" s="8">
        <v>45615</v>
      </c>
      <c r="B63" s="9">
        <v>3</v>
      </c>
    </row>
    <row r="64" spans="1:2" x14ac:dyDescent="0.3">
      <c r="A64" s="7" t="s">
        <v>1599</v>
      </c>
      <c r="B64" s="9">
        <v>21</v>
      </c>
    </row>
    <row r="65" spans="1:2" x14ac:dyDescent="0.3">
      <c r="A65" s="8">
        <v>45616</v>
      </c>
      <c r="B65" s="9">
        <v>3</v>
      </c>
    </row>
    <row r="66" spans="1:2" x14ac:dyDescent="0.3">
      <c r="A66" s="8">
        <v>45617</v>
      </c>
      <c r="B66" s="9">
        <v>3</v>
      </c>
    </row>
    <row r="67" spans="1:2" x14ac:dyDescent="0.3">
      <c r="A67" s="8">
        <v>45618</v>
      </c>
      <c r="B67" s="9">
        <v>3</v>
      </c>
    </row>
    <row r="68" spans="1:2" x14ac:dyDescent="0.3">
      <c r="A68" s="8">
        <v>45619</v>
      </c>
      <c r="B68" s="9">
        <v>3</v>
      </c>
    </row>
    <row r="69" spans="1:2" x14ac:dyDescent="0.3">
      <c r="A69" s="8">
        <v>45620</v>
      </c>
      <c r="B69" s="9">
        <v>3</v>
      </c>
    </row>
    <row r="70" spans="1:2" x14ac:dyDescent="0.3">
      <c r="A70" s="8">
        <v>45621</v>
      </c>
      <c r="B70" s="9">
        <v>3</v>
      </c>
    </row>
    <row r="71" spans="1:2" x14ac:dyDescent="0.3">
      <c r="A71" s="8">
        <v>45622</v>
      </c>
      <c r="B71" s="9">
        <v>3</v>
      </c>
    </row>
    <row r="72" spans="1:2" x14ac:dyDescent="0.3">
      <c r="A72" s="7" t="s">
        <v>1600</v>
      </c>
      <c r="B72" s="9">
        <v>24</v>
      </c>
    </row>
    <row r="73" spans="1:2" x14ac:dyDescent="0.3">
      <c r="A73" s="8">
        <v>45623</v>
      </c>
      <c r="B73" s="9">
        <v>3</v>
      </c>
    </row>
    <row r="74" spans="1:2" x14ac:dyDescent="0.3">
      <c r="A74" s="8">
        <v>45624</v>
      </c>
      <c r="B74" s="9">
        <v>3</v>
      </c>
    </row>
    <row r="75" spans="1:2" x14ac:dyDescent="0.3">
      <c r="A75" s="8">
        <v>45625</v>
      </c>
      <c r="B75" s="9">
        <v>3</v>
      </c>
    </row>
    <row r="76" spans="1:2" x14ac:dyDescent="0.3">
      <c r="A76" s="8">
        <v>45626</v>
      </c>
      <c r="B76" s="9">
        <v>3</v>
      </c>
    </row>
    <row r="77" spans="1:2" x14ac:dyDescent="0.3">
      <c r="A77" s="8">
        <v>45627</v>
      </c>
      <c r="B77" s="9">
        <v>4</v>
      </c>
    </row>
    <row r="78" spans="1:2" x14ac:dyDescent="0.3">
      <c r="A78" s="8">
        <v>45628</v>
      </c>
      <c r="B78" s="9">
        <v>4</v>
      </c>
    </row>
    <row r="79" spans="1:2" x14ac:dyDescent="0.3">
      <c r="A79" s="8">
        <v>45629</v>
      </c>
      <c r="B79" s="9">
        <v>4</v>
      </c>
    </row>
    <row r="80" spans="1:2" x14ac:dyDescent="0.3">
      <c r="A80" s="7" t="s">
        <v>1601</v>
      </c>
      <c r="B80" s="9">
        <v>28</v>
      </c>
    </row>
    <row r="81" spans="1:2" x14ac:dyDescent="0.3">
      <c r="A81" s="8">
        <v>45630</v>
      </c>
      <c r="B81" s="9">
        <v>4</v>
      </c>
    </row>
    <row r="82" spans="1:2" x14ac:dyDescent="0.3">
      <c r="A82" s="8">
        <v>45631</v>
      </c>
      <c r="B82" s="9">
        <v>4</v>
      </c>
    </row>
    <row r="83" spans="1:2" x14ac:dyDescent="0.3">
      <c r="A83" s="8">
        <v>45632</v>
      </c>
      <c r="B83" s="9">
        <v>4</v>
      </c>
    </row>
    <row r="84" spans="1:2" x14ac:dyDescent="0.3">
      <c r="A84" s="8">
        <v>45633</v>
      </c>
      <c r="B84" s="9">
        <v>4</v>
      </c>
    </row>
    <row r="85" spans="1:2" x14ac:dyDescent="0.3">
      <c r="A85" s="8">
        <v>45634</v>
      </c>
      <c r="B85" s="9">
        <v>4</v>
      </c>
    </row>
    <row r="86" spans="1:2" x14ac:dyDescent="0.3">
      <c r="A86" s="8">
        <v>45635</v>
      </c>
      <c r="B86" s="9">
        <v>3</v>
      </c>
    </row>
    <row r="87" spans="1:2" x14ac:dyDescent="0.3">
      <c r="A87" s="8">
        <v>45636</v>
      </c>
      <c r="B87" s="9">
        <v>5</v>
      </c>
    </row>
    <row r="88" spans="1:2" x14ac:dyDescent="0.3">
      <c r="A88" s="7" t="s">
        <v>1602</v>
      </c>
      <c r="B88" s="9">
        <v>28</v>
      </c>
    </row>
    <row r="89" spans="1:2" x14ac:dyDescent="0.3">
      <c r="A89" s="8">
        <v>45637</v>
      </c>
      <c r="B89" s="9">
        <v>4</v>
      </c>
    </row>
    <row r="90" spans="1:2" x14ac:dyDescent="0.3">
      <c r="A90" s="8">
        <v>45638</v>
      </c>
      <c r="B90" s="9">
        <v>4</v>
      </c>
    </row>
    <row r="91" spans="1:2" x14ac:dyDescent="0.3">
      <c r="A91" s="8">
        <v>45639</v>
      </c>
      <c r="B91" s="9">
        <v>4</v>
      </c>
    </row>
    <row r="92" spans="1:2" x14ac:dyDescent="0.3">
      <c r="A92" s="8">
        <v>45640</v>
      </c>
      <c r="B92" s="9">
        <v>4</v>
      </c>
    </row>
    <row r="93" spans="1:2" x14ac:dyDescent="0.3">
      <c r="A93" s="8">
        <v>45641</v>
      </c>
      <c r="B93" s="9">
        <v>4</v>
      </c>
    </row>
    <row r="94" spans="1:2" x14ac:dyDescent="0.3">
      <c r="A94" s="8">
        <v>45642</v>
      </c>
      <c r="B94" s="9">
        <v>4</v>
      </c>
    </row>
    <row r="95" spans="1:2" x14ac:dyDescent="0.3">
      <c r="A95" s="8">
        <v>45643</v>
      </c>
      <c r="B95" s="9">
        <v>4</v>
      </c>
    </row>
    <row r="96" spans="1:2" x14ac:dyDescent="0.3">
      <c r="A96" s="7" t="s">
        <v>1603</v>
      </c>
      <c r="B96" s="9">
        <v>28</v>
      </c>
    </row>
    <row r="97" spans="1:2" x14ac:dyDescent="0.3">
      <c r="A97" s="8">
        <v>45644</v>
      </c>
      <c r="B97" s="9">
        <v>4</v>
      </c>
    </row>
    <row r="98" spans="1:2" x14ac:dyDescent="0.3">
      <c r="A98" s="8">
        <v>45645</v>
      </c>
      <c r="B98" s="9">
        <v>4</v>
      </c>
    </row>
    <row r="99" spans="1:2" x14ac:dyDescent="0.3">
      <c r="A99" s="8">
        <v>45646</v>
      </c>
      <c r="B99" s="9">
        <v>4</v>
      </c>
    </row>
    <row r="100" spans="1:2" x14ac:dyDescent="0.3">
      <c r="A100" s="8">
        <v>45647</v>
      </c>
      <c r="B100" s="9">
        <v>4</v>
      </c>
    </row>
    <row r="101" spans="1:2" x14ac:dyDescent="0.3">
      <c r="A101" s="8">
        <v>45648</v>
      </c>
      <c r="B101" s="9">
        <v>4</v>
      </c>
    </row>
    <row r="102" spans="1:2" x14ac:dyDescent="0.3">
      <c r="A102" s="8">
        <v>45649</v>
      </c>
      <c r="B102" s="9">
        <v>4</v>
      </c>
    </row>
    <row r="103" spans="1:2" x14ac:dyDescent="0.3">
      <c r="A103" s="8">
        <v>45650</v>
      </c>
      <c r="B103" s="9">
        <v>4</v>
      </c>
    </row>
    <row r="104" spans="1:2" x14ac:dyDescent="0.3">
      <c r="A104" s="7" t="s">
        <v>1604</v>
      </c>
      <c r="B104" s="9">
        <v>25</v>
      </c>
    </row>
    <row r="105" spans="1:2" x14ac:dyDescent="0.3">
      <c r="A105" s="8">
        <v>45651</v>
      </c>
      <c r="B105" s="9">
        <v>4</v>
      </c>
    </row>
    <row r="106" spans="1:2" x14ac:dyDescent="0.3">
      <c r="A106" s="8">
        <v>45652</v>
      </c>
      <c r="B106" s="9">
        <v>4</v>
      </c>
    </row>
    <row r="107" spans="1:2" x14ac:dyDescent="0.3">
      <c r="A107" s="8">
        <v>45653</v>
      </c>
      <c r="B107" s="9">
        <v>4</v>
      </c>
    </row>
    <row r="108" spans="1:2" x14ac:dyDescent="0.3">
      <c r="A108" s="8">
        <v>45654</v>
      </c>
      <c r="B108" s="9">
        <v>4</v>
      </c>
    </row>
    <row r="109" spans="1:2" x14ac:dyDescent="0.3">
      <c r="A109" s="8">
        <v>45655</v>
      </c>
      <c r="B109" s="9">
        <v>4</v>
      </c>
    </row>
    <row r="110" spans="1:2" x14ac:dyDescent="0.3">
      <c r="A110" s="8">
        <v>45656</v>
      </c>
      <c r="B110" s="9">
        <v>4</v>
      </c>
    </row>
    <row r="111" spans="1:2" x14ac:dyDescent="0.3">
      <c r="A111" s="8">
        <v>45657</v>
      </c>
      <c r="B111" s="9">
        <v>1</v>
      </c>
    </row>
    <row r="112" spans="1:2" x14ac:dyDescent="0.3">
      <c r="A112" s="7" t="s">
        <v>1588</v>
      </c>
      <c r="B112" s="9">
        <v>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073B-5E60-4FF9-9F0F-626C26F5DA06}">
  <dimension ref="A1:E24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4" width="14.88671875" bestFit="1" customWidth="1"/>
    <col min="5" max="5" width="26.109375" bestFit="1" customWidth="1"/>
    <col min="6" max="6" width="16.44140625" bestFit="1" customWidth="1"/>
    <col min="7" max="7" width="19.6640625" bestFit="1" customWidth="1"/>
  </cols>
  <sheetData>
    <row r="1" spans="1:5" x14ac:dyDescent="0.3">
      <c r="A1" s="6" t="s">
        <v>19</v>
      </c>
      <c r="B1" t="s">
        <v>47</v>
      </c>
    </row>
    <row r="3" spans="1:5" x14ac:dyDescent="0.3">
      <c r="A3" s="6" t="s">
        <v>1587</v>
      </c>
      <c r="B3" t="s">
        <v>1589</v>
      </c>
    </row>
    <row r="4" spans="1:5" x14ac:dyDescent="0.3">
      <c r="A4" s="7" t="s">
        <v>25</v>
      </c>
      <c r="B4" s="9">
        <v>147</v>
      </c>
      <c r="E4" s="11"/>
    </row>
    <row r="5" spans="1:5" x14ac:dyDescent="0.3">
      <c r="A5" s="7" t="s">
        <v>39</v>
      </c>
      <c r="B5" s="9">
        <v>33</v>
      </c>
      <c r="E5" s="11"/>
    </row>
    <row r="6" spans="1:5" x14ac:dyDescent="0.3">
      <c r="A6" s="7" t="s">
        <v>1588</v>
      </c>
      <c r="B6" s="9">
        <v>180</v>
      </c>
    </row>
    <row r="8" spans="1:5" x14ac:dyDescent="0.3">
      <c r="A8" s="6" t="s">
        <v>19</v>
      </c>
      <c r="B8" t="s">
        <v>1605</v>
      </c>
    </row>
    <row r="10" spans="1:5" x14ac:dyDescent="0.3">
      <c r="A10" s="6" t="s">
        <v>1587</v>
      </c>
      <c r="B10" t="s">
        <v>1589</v>
      </c>
    </row>
    <row r="11" spans="1:5" x14ac:dyDescent="0.3">
      <c r="A11" s="7" t="s">
        <v>25</v>
      </c>
      <c r="B11" s="9">
        <v>270</v>
      </c>
    </row>
    <row r="12" spans="1:5" x14ac:dyDescent="0.3">
      <c r="A12" s="7" t="s">
        <v>39</v>
      </c>
      <c r="B12" s="9">
        <v>76</v>
      </c>
    </row>
    <row r="13" spans="1:5" x14ac:dyDescent="0.3">
      <c r="A13" s="7" t="s">
        <v>1588</v>
      </c>
      <c r="B13" s="9">
        <v>346</v>
      </c>
    </row>
    <row r="15" spans="1:5" x14ac:dyDescent="0.3">
      <c r="A15" s="33" t="s">
        <v>3</v>
      </c>
      <c r="B15" s="33" t="s">
        <v>1580</v>
      </c>
      <c r="C15" s="33" t="s">
        <v>1606</v>
      </c>
      <c r="D15" s="33" t="s">
        <v>1608</v>
      </c>
    </row>
    <row r="16" spans="1:5" x14ac:dyDescent="0.3">
      <c r="A16" s="4" t="s">
        <v>25</v>
      </c>
      <c r="B16" s="4">
        <v>270</v>
      </c>
      <c r="C16" s="4">
        <v>147</v>
      </c>
      <c r="D16" s="19">
        <f>C16/B16</f>
        <v>0.5444444444444444</v>
      </c>
    </row>
    <row r="17" spans="1:4" x14ac:dyDescent="0.3">
      <c r="A17" s="4" t="s">
        <v>39</v>
      </c>
      <c r="B17" s="4">
        <v>76</v>
      </c>
      <c r="C17" s="4">
        <v>33</v>
      </c>
      <c r="D17" s="19">
        <f>C17/B17</f>
        <v>0.43421052631578949</v>
      </c>
    </row>
    <row r="18" spans="1:4" x14ac:dyDescent="0.3">
      <c r="A18" s="4"/>
      <c r="B18" s="4">
        <f>SUM(B16:B17)</f>
        <v>346</v>
      </c>
      <c r="C18" s="4">
        <f>SUM(C16:C17)</f>
        <v>180</v>
      </c>
      <c r="D18" s="19"/>
    </row>
    <row r="24" spans="1:4" x14ac:dyDescent="0.3">
      <c r="D2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474D-2E23-40F2-8CAA-DA44013EF961}">
  <dimension ref="A1:C9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6.6640625" bestFit="1" customWidth="1"/>
    <col min="4" max="4" width="15.44140625" bestFit="1" customWidth="1"/>
  </cols>
  <sheetData>
    <row r="1" spans="1:3" x14ac:dyDescent="0.3">
      <c r="A1" s="6" t="s">
        <v>19</v>
      </c>
      <c r="B1" t="s">
        <v>47</v>
      </c>
    </row>
    <row r="3" spans="1:3" x14ac:dyDescent="0.3">
      <c r="A3" s="6" t="s">
        <v>1587</v>
      </c>
      <c r="B3" t="s">
        <v>1606</v>
      </c>
      <c r="C3" t="s">
        <v>1607</v>
      </c>
    </row>
    <row r="4" spans="1:3" x14ac:dyDescent="0.3">
      <c r="A4" s="7" t="s">
        <v>72</v>
      </c>
      <c r="B4" s="9">
        <v>16</v>
      </c>
      <c r="C4" s="9">
        <v>25973</v>
      </c>
    </row>
    <row r="5" spans="1:3" x14ac:dyDescent="0.3">
      <c r="A5" s="7" t="s">
        <v>54</v>
      </c>
      <c r="B5" s="9">
        <v>25</v>
      </c>
      <c r="C5" s="9">
        <v>63671</v>
      </c>
    </row>
    <row r="6" spans="1:3" x14ac:dyDescent="0.3">
      <c r="A6" s="7" t="s">
        <v>41</v>
      </c>
      <c r="B6" s="9">
        <v>44</v>
      </c>
      <c r="C6" s="9">
        <v>177356</v>
      </c>
    </row>
    <row r="7" spans="1:3" x14ac:dyDescent="0.3">
      <c r="A7" s="7" t="s">
        <v>62</v>
      </c>
      <c r="B7" s="9">
        <v>52</v>
      </c>
      <c r="C7" s="9">
        <v>282448</v>
      </c>
    </row>
    <row r="8" spans="1:3" x14ac:dyDescent="0.3">
      <c r="A8" s="7" t="s">
        <v>27</v>
      </c>
      <c r="B8" s="9">
        <v>43</v>
      </c>
      <c r="C8" s="9">
        <v>98448</v>
      </c>
    </row>
    <row r="9" spans="1:3" x14ac:dyDescent="0.3">
      <c r="A9" s="7" t="s">
        <v>1588</v>
      </c>
      <c r="B9" s="9">
        <v>180</v>
      </c>
      <c r="C9" s="9">
        <v>647896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0E68-6544-4C9D-8539-D3B231E98260}">
  <dimension ref="A1:H55"/>
  <sheetViews>
    <sheetView zoomScale="71" zoomScaleNormal="47" workbookViewId="0">
      <selection activeCell="B65" sqref="B65"/>
    </sheetView>
  </sheetViews>
  <sheetFormatPr defaultRowHeight="14.4" x14ac:dyDescent="0.3"/>
  <cols>
    <col min="1" max="1" width="25.77734375" customWidth="1"/>
    <col min="2" max="2" width="23.6640625" customWidth="1"/>
    <col min="3" max="3" width="16.33203125" customWidth="1"/>
    <col min="4" max="4" width="18.5546875" bestFit="1" customWidth="1"/>
    <col min="5" max="5" width="18.109375" bestFit="1" customWidth="1"/>
    <col min="6" max="6" width="18.5546875" bestFit="1" customWidth="1"/>
    <col min="7" max="7" width="18.109375" bestFit="1" customWidth="1"/>
    <col min="8" max="8" width="10.5546875" customWidth="1"/>
  </cols>
  <sheetData>
    <row r="1" spans="1:8" x14ac:dyDescent="0.3">
      <c r="A1" s="6" t="s">
        <v>19</v>
      </c>
      <c r="B1" t="s">
        <v>47</v>
      </c>
      <c r="D1" s="6" t="s">
        <v>19</v>
      </c>
      <c r="E1" t="s">
        <v>1605</v>
      </c>
    </row>
    <row r="3" spans="1:8" x14ac:dyDescent="0.3">
      <c r="A3" s="6" t="s">
        <v>1587</v>
      </c>
      <c r="B3" t="s">
        <v>1611</v>
      </c>
      <c r="D3" s="6" t="s">
        <v>1587</v>
      </c>
      <c r="E3" t="s">
        <v>1610</v>
      </c>
      <c r="F3" s="33" t="s">
        <v>1608</v>
      </c>
    </row>
    <row r="4" spans="1:8" x14ac:dyDescent="0.3">
      <c r="A4" s="7" t="s">
        <v>1596</v>
      </c>
      <c r="B4" s="9">
        <v>20</v>
      </c>
      <c r="D4" s="7" t="s">
        <v>1596</v>
      </c>
      <c r="E4" s="9">
        <v>29</v>
      </c>
      <c r="F4" s="19">
        <f>B4/E4</f>
        <v>0.68965517241379315</v>
      </c>
      <c r="H4" s="11"/>
    </row>
    <row r="5" spans="1:8" x14ac:dyDescent="0.3">
      <c r="A5" s="7" t="s">
        <v>1600</v>
      </c>
      <c r="B5" s="9">
        <v>12</v>
      </c>
      <c r="D5" s="7" t="s">
        <v>1600</v>
      </c>
      <c r="E5" s="9">
        <v>24</v>
      </c>
      <c r="F5" s="19">
        <f>B5/E5</f>
        <v>0.5</v>
      </c>
      <c r="H5" s="11"/>
    </row>
    <row r="6" spans="1:8" x14ac:dyDescent="0.3">
      <c r="A6" s="7" t="s">
        <v>1604</v>
      </c>
      <c r="B6" s="9">
        <v>15</v>
      </c>
      <c r="D6" s="7" t="s">
        <v>1604</v>
      </c>
      <c r="E6" s="9">
        <v>25</v>
      </c>
      <c r="F6" s="19">
        <f>B6/E6</f>
        <v>0.6</v>
      </c>
      <c r="H6" s="11"/>
    </row>
    <row r="7" spans="1:8" x14ac:dyDescent="0.3">
      <c r="A7" s="7" t="s">
        <v>1591</v>
      </c>
      <c r="B7" s="9">
        <v>2</v>
      </c>
      <c r="D7" s="7" t="s">
        <v>1591</v>
      </c>
      <c r="E7" s="9">
        <v>4</v>
      </c>
      <c r="F7" s="19">
        <f>B7/E7</f>
        <v>0.5</v>
      </c>
      <c r="H7" s="11"/>
    </row>
    <row r="8" spans="1:8" x14ac:dyDescent="0.3">
      <c r="A8" s="7" t="s">
        <v>1595</v>
      </c>
      <c r="B8" s="9">
        <v>17</v>
      </c>
      <c r="D8" s="7" t="s">
        <v>1595</v>
      </c>
      <c r="E8" s="9">
        <v>30</v>
      </c>
      <c r="F8" s="19">
        <f>B8/E8</f>
        <v>0.56666666666666665</v>
      </c>
      <c r="H8" s="11"/>
    </row>
    <row r="9" spans="1:8" x14ac:dyDescent="0.3">
      <c r="A9" s="7" t="s">
        <v>1599</v>
      </c>
      <c r="B9" s="9">
        <v>12</v>
      </c>
      <c r="D9" s="7" t="s">
        <v>1599</v>
      </c>
      <c r="E9" s="9">
        <v>21</v>
      </c>
      <c r="F9" s="19">
        <f>B9/E9</f>
        <v>0.5714285714285714</v>
      </c>
      <c r="H9" s="11"/>
    </row>
    <row r="10" spans="1:8" x14ac:dyDescent="0.3">
      <c r="A10" s="7" t="s">
        <v>1603</v>
      </c>
      <c r="B10" s="9">
        <v>17</v>
      </c>
      <c r="D10" s="7" t="s">
        <v>1603</v>
      </c>
      <c r="E10" s="9">
        <v>28</v>
      </c>
      <c r="F10" s="19">
        <f>B10/E10</f>
        <v>0.6071428571428571</v>
      </c>
      <c r="H10" s="11"/>
    </row>
    <row r="11" spans="1:8" x14ac:dyDescent="0.3">
      <c r="A11" s="7" t="s">
        <v>1594</v>
      </c>
      <c r="B11" s="9">
        <v>11</v>
      </c>
      <c r="D11" s="7" t="s">
        <v>1594</v>
      </c>
      <c r="E11" s="9">
        <v>28</v>
      </c>
      <c r="F11" s="19">
        <f>B11/E11</f>
        <v>0.39285714285714285</v>
      </c>
      <c r="H11" s="11"/>
    </row>
    <row r="12" spans="1:8" x14ac:dyDescent="0.3">
      <c r="A12" s="7" t="s">
        <v>1598</v>
      </c>
      <c r="B12" s="9">
        <v>11</v>
      </c>
      <c r="D12" s="7" t="s">
        <v>1598</v>
      </c>
      <c r="E12" s="9">
        <v>21</v>
      </c>
      <c r="F12" s="19">
        <f>B12/E12</f>
        <v>0.52380952380952384</v>
      </c>
      <c r="H12" s="11"/>
    </row>
    <row r="13" spans="1:8" x14ac:dyDescent="0.3">
      <c r="A13" s="7" t="s">
        <v>1602</v>
      </c>
      <c r="B13" s="9">
        <v>16</v>
      </c>
      <c r="D13" s="7" t="s">
        <v>1602</v>
      </c>
      <c r="E13" s="9">
        <v>28</v>
      </c>
      <c r="F13" s="19">
        <f>B13/E13</f>
        <v>0.5714285714285714</v>
      </c>
      <c r="H13" s="11"/>
    </row>
    <row r="14" spans="1:8" x14ac:dyDescent="0.3">
      <c r="A14" s="7" t="s">
        <v>1593</v>
      </c>
      <c r="B14" s="9">
        <v>12</v>
      </c>
      <c r="D14" s="7" t="s">
        <v>1590</v>
      </c>
      <c r="E14" s="9">
        <v>1</v>
      </c>
      <c r="F14" s="19">
        <v>0</v>
      </c>
      <c r="H14" s="11"/>
    </row>
    <row r="15" spans="1:8" x14ac:dyDescent="0.3">
      <c r="A15" s="7" t="s">
        <v>1597</v>
      </c>
      <c r="B15" s="9">
        <v>10</v>
      </c>
      <c r="D15" s="7" t="s">
        <v>1593</v>
      </c>
      <c r="E15" s="9">
        <v>29</v>
      </c>
      <c r="F15" s="19">
        <f>B14/E15</f>
        <v>0.41379310344827586</v>
      </c>
      <c r="H15" s="11"/>
    </row>
    <row r="16" spans="1:8" x14ac:dyDescent="0.3">
      <c r="A16" s="7" t="s">
        <v>1601</v>
      </c>
      <c r="B16" s="9">
        <v>13</v>
      </c>
      <c r="D16" s="7" t="s">
        <v>1597</v>
      </c>
      <c r="E16" s="9">
        <v>20</v>
      </c>
      <c r="F16" s="19">
        <f>B15/E15</f>
        <v>0.34482758620689657</v>
      </c>
      <c r="H16" s="11"/>
    </row>
    <row r="17" spans="1:8" x14ac:dyDescent="0.3">
      <c r="A17" s="7" t="s">
        <v>1592</v>
      </c>
      <c r="B17" s="9">
        <v>12</v>
      </c>
      <c r="D17" s="7" t="s">
        <v>1601</v>
      </c>
      <c r="E17" s="9">
        <v>28</v>
      </c>
      <c r="F17" s="19">
        <f>B16/E16</f>
        <v>0.65</v>
      </c>
      <c r="H17" s="11"/>
    </row>
    <row r="18" spans="1:8" x14ac:dyDescent="0.3">
      <c r="A18" s="7" t="s">
        <v>1588</v>
      </c>
      <c r="B18" s="9">
        <v>180</v>
      </c>
      <c r="D18" s="7" t="s">
        <v>1592</v>
      </c>
      <c r="E18" s="9">
        <v>30</v>
      </c>
      <c r="F18" s="19">
        <f>B17/E17</f>
        <v>0.42857142857142855</v>
      </c>
      <c r="H18" s="11"/>
    </row>
    <row r="19" spans="1:8" x14ac:dyDescent="0.3">
      <c r="D19" s="7" t="s">
        <v>1588</v>
      </c>
      <c r="E19" s="9">
        <v>346</v>
      </c>
      <c r="H19" s="11"/>
    </row>
    <row r="21" spans="1:8" x14ac:dyDescent="0.3">
      <c r="B21" s="17" t="s">
        <v>1612</v>
      </c>
      <c r="C21" s="17" t="s">
        <v>1610</v>
      </c>
      <c r="D21" s="17" t="s">
        <v>1611</v>
      </c>
      <c r="E21" s="17" t="s">
        <v>1608</v>
      </c>
    </row>
    <row r="22" spans="1:8" x14ac:dyDescent="0.3">
      <c r="B22" s="4" t="s">
        <v>1596</v>
      </c>
      <c r="C22" s="4">
        <v>29</v>
      </c>
      <c r="D22" s="4">
        <v>20</v>
      </c>
      <c r="E22" s="19">
        <f>D22/C22</f>
        <v>0.68965517241379315</v>
      </c>
    </row>
    <row r="23" spans="1:8" x14ac:dyDescent="0.3">
      <c r="B23" s="4" t="s">
        <v>1600</v>
      </c>
      <c r="C23" s="4">
        <v>24</v>
      </c>
      <c r="D23" s="4">
        <v>12</v>
      </c>
      <c r="E23" s="19">
        <f t="shared" ref="E23:E36" si="0">D23/C23</f>
        <v>0.5</v>
      </c>
      <c r="F23" s="13"/>
    </row>
    <row r="24" spans="1:8" x14ac:dyDescent="0.3">
      <c r="B24" s="4" t="s">
        <v>1604</v>
      </c>
      <c r="C24" s="4">
        <v>25</v>
      </c>
      <c r="D24" s="4">
        <v>15</v>
      </c>
      <c r="E24" s="19">
        <f t="shared" si="0"/>
        <v>0.6</v>
      </c>
    </row>
    <row r="25" spans="1:8" x14ac:dyDescent="0.3">
      <c r="B25" s="4" t="s">
        <v>1591</v>
      </c>
      <c r="C25" s="4">
        <v>4</v>
      </c>
      <c r="D25" s="4">
        <v>2</v>
      </c>
      <c r="E25" s="19">
        <f t="shared" si="0"/>
        <v>0.5</v>
      </c>
    </row>
    <row r="26" spans="1:8" x14ac:dyDescent="0.3">
      <c r="B26" s="4" t="s">
        <v>1595</v>
      </c>
      <c r="C26" s="4">
        <v>30</v>
      </c>
      <c r="D26" s="4">
        <v>17</v>
      </c>
      <c r="E26" s="19">
        <f t="shared" si="0"/>
        <v>0.56666666666666665</v>
      </c>
    </row>
    <row r="27" spans="1:8" x14ac:dyDescent="0.3">
      <c r="B27" s="4" t="s">
        <v>1599</v>
      </c>
      <c r="C27" s="4">
        <v>21</v>
      </c>
      <c r="D27" s="4">
        <v>12</v>
      </c>
      <c r="E27" s="19">
        <f t="shared" si="0"/>
        <v>0.5714285714285714</v>
      </c>
    </row>
    <row r="28" spans="1:8" x14ac:dyDescent="0.3">
      <c r="B28" s="4" t="s">
        <v>1603</v>
      </c>
      <c r="C28" s="4">
        <v>28</v>
      </c>
      <c r="D28" s="4">
        <v>17</v>
      </c>
      <c r="E28" s="19">
        <f t="shared" si="0"/>
        <v>0.6071428571428571</v>
      </c>
    </row>
    <row r="29" spans="1:8" x14ac:dyDescent="0.3">
      <c r="B29" s="4" t="s">
        <v>1594</v>
      </c>
      <c r="C29" s="4">
        <v>28</v>
      </c>
      <c r="D29" s="4">
        <v>11</v>
      </c>
      <c r="E29" s="19">
        <f t="shared" si="0"/>
        <v>0.39285714285714285</v>
      </c>
    </row>
    <row r="30" spans="1:8" x14ac:dyDescent="0.3">
      <c r="B30" s="4" t="s">
        <v>1598</v>
      </c>
      <c r="C30" s="4">
        <v>21</v>
      </c>
      <c r="D30" s="4">
        <v>11</v>
      </c>
      <c r="E30" s="19">
        <f t="shared" si="0"/>
        <v>0.52380952380952384</v>
      </c>
    </row>
    <row r="31" spans="1:8" x14ac:dyDescent="0.3">
      <c r="B31" s="4" t="s">
        <v>1602</v>
      </c>
      <c r="C31" s="4">
        <v>28</v>
      </c>
      <c r="D31" s="4">
        <v>16</v>
      </c>
      <c r="E31" s="19">
        <f t="shared" si="0"/>
        <v>0.5714285714285714</v>
      </c>
    </row>
    <row r="32" spans="1:8" x14ac:dyDescent="0.3">
      <c r="B32" s="4" t="s">
        <v>1590</v>
      </c>
      <c r="C32" s="4">
        <v>1</v>
      </c>
      <c r="D32" s="4">
        <v>1</v>
      </c>
      <c r="E32" s="19">
        <f t="shared" si="0"/>
        <v>1</v>
      </c>
    </row>
    <row r="33" spans="2:5" x14ac:dyDescent="0.3">
      <c r="B33" s="4" t="s">
        <v>1593</v>
      </c>
      <c r="C33" s="4">
        <v>29</v>
      </c>
      <c r="D33" s="4">
        <v>12</v>
      </c>
      <c r="E33" s="19">
        <f t="shared" si="0"/>
        <v>0.41379310344827586</v>
      </c>
    </row>
    <row r="34" spans="2:5" x14ac:dyDescent="0.3">
      <c r="B34" s="4" t="s">
        <v>1597</v>
      </c>
      <c r="C34" s="4">
        <v>20</v>
      </c>
      <c r="D34" s="4">
        <v>13</v>
      </c>
      <c r="E34" s="19">
        <f t="shared" si="0"/>
        <v>0.65</v>
      </c>
    </row>
    <row r="35" spans="2:5" x14ac:dyDescent="0.3">
      <c r="B35" s="4" t="s">
        <v>1601</v>
      </c>
      <c r="C35" s="4">
        <v>28</v>
      </c>
      <c r="D35" s="4">
        <v>18</v>
      </c>
      <c r="E35" s="19">
        <f t="shared" si="0"/>
        <v>0.6428571428571429</v>
      </c>
    </row>
    <row r="36" spans="2:5" x14ac:dyDescent="0.3">
      <c r="B36" s="4" t="s">
        <v>1592</v>
      </c>
      <c r="C36" s="4">
        <v>30</v>
      </c>
      <c r="D36" s="4">
        <v>12</v>
      </c>
      <c r="E36" s="19">
        <f t="shared" si="0"/>
        <v>0.4</v>
      </c>
    </row>
    <row r="41" spans="2:5" x14ac:dyDescent="0.3">
      <c r="E41" s="11"/>
    </row>
    <row r="42" spans="2:5" x14ac:dyDescent="0.3">
      <c r="E42" s="11"/>
    </row>
    <row r="43" spans="2:5" x14ac:dyDescent="0.3">
      <c r="E43" s="11"/>
    </row>
    <row r="44" spans="2:5" x14ac:dyDescent="0.3">
      <c r="E44" s="11"/>
    </row>
    <row r="45" spans="2:5" x14ac:dyDescent="0.3">
      <c r="E45" s="11"/>
    </row>
    <row r="46" spans="2:5" x14ac:dyDescent="0.3">
      <c r="E46" s="11"/>
    </row>
    <row r="47" spans="2:5" x14ac:dyDescent="0.3">
      <c r="E47" s="11"/>
    </row>
    <row r="48" spans="2:5" x14ac:dyDescent="0.3">
      <c r="E48" s="11"/>
    </row>
    <row r="49" spans="5:5" x14ac:dyDescent="0.3">
      <c r="E49" s="11"/>
    </row>
    <row r="50" spans="5:5" x14ac:dyDescent="0.3">
      <c r="E50" s="11"/>
    </row>
    <row r="51" spans="5:5" x14ac:dyDescent="0.3">
      <c r="E51" s="11"/>
    </row>
    <row r="52" spans="5:5" x14ac:dyDescent="0.3">
      <c r="E52" s="11"/>
    </row>
    <row r="53" spans="5:5" x14ac:dyDescent="0.3">
      <c r="E53" s="11"/>
    </row>
    <row r="54" spans="5:5" x14ac:dyDescent="0.3">
      <c r="E54" s="11"/>
    </row>
    <row r="55" spans="5:5" x14ac:dyDescent="0.3">
      <c r="E55" s="11"/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2A27-BCA4-4F06-BA6D-373706753037}">
  <dimension ref="A1:E24"/>
  <sheetViews>
    <sheetView workbookViewId="0">
      <selection activeCell="K7" sqref="K7"/>
    </sheetView>
  </sheetViews>
  <sheetFormatPr defaultRowHeight="14.4" x14ac:dyDescent="0.3"/>
  <cols>
    <col min="1" max="1" width="12.5546875" bestFit="1" customWidth="1"/>
    <col min="2" max="3" width="14.88671875" bestFit="1" customWidth="1"/>
    <col min="4" max="4" width="12.5546875" bestFit="1" customWidth="1"/>
    <col min="5" max="5" width="11.21875" bestFit="1" customWidth="1"/>
  </cols>
  <sheetData>
    <row r="1" spans="1:5" x14ac:dyDescent="0.3">
      <c r="A1" s="6" t="s">
        <v>19</v>
      </c>
      <c r="B1" t="s">
        <v>47</v>
      </c>
      <c r="D1" s="6" t="s">
        <v>19</v>
      </c>
      <c r="E1" t="s">
        <v>1605</v>
      </c>
    </row>
    <row r="3" spans="1:5" x14ac:dyDescent="0.3">
      <c r="A3" s="6" t="s">
        <v>1587</v>
      </c>
      <c r="B3" t="s">
        <v>1606</v>
      </c>
      <c r="D3" s="6" t="s">
        <v>1587</v>
      </c>
      <c r="E3" t="s">
        <v>1580</v>
      </c>
    </row>
    <row r="4" spans="1:5" x14ac:dyDescent="0.3">
      <c r="A4" s="7" t="s">
        <v>72</v>
      </c>
      <c r="B4" s="9">
        <v>16</v>
      </c>
      <c r="D4" s="7" t="s">
        <v>72</v>
      </c>
      <c r="E4" s="9">
        <v>68</v>
      </c>
    </row>
    <row r="5" spans="1:5" x14ac:dyDescent="0.3">
      <c r="A5" s="7" t="s">
        <v>54</v>
      </c>
      <c r="B5" s="9">
        <v>25</v>
      </c>
      <c r="D5" s="7" t="s">
        <v>54</v>
      </c>
      <c r="E5" s="9">
        <v>67</v>
      </c>
    </row>
    <row r="6" spans="1:5" x14ac:dyDescent="0.3">
      <c r="A6" s="7" t="s">
        <v>41</v>
      </c>
      <c r="B6" s="9">
        <v>44</v>
      </c>
      <c r="D6" s="7" t="s">
        <v>41</v>
      </c>
      <c r="E6" s="9">
        <v>70</v>
      </c>
    </row>
    <row r="7" spans="1:5" x14ac:dyDescent="0.3">
      <c r="A7" s="7" t="s">
        <v>62</v>
      </c>
      <c r="B7" s="9">
        <v>52</v>
      </c>
      <c r="D7" s="7" t="s">
        <v>62</v>
      </c>
      <c r="E7" s="9">
        <v>68</v>
      </c>
    </row>
    <row r="8" spans="1:5" x14ac:dyDescent="0.3">
      <c r="A8" s="7" t="s">
        <v>27</v>
      </c>
      <c r="B8" s="9">
        <v>43</v>
      </c>
      <c r="D8" s="7" t="s">
        <v>27</v>
      </c>
      <c r="E8" s="9">
        <v>73</v>
      </c>
    </row>
    <row r="9" spans="1:5" x14ac:dyDescent="0.3">
      <c r="A9" s="7" t="s">
        <v>1588</v>
      </c>
      <c r="B9" s="9">
        <v>180</v>
      </c>
      <c r="D9" s="7" t="s">
        <v>1588</v>
      </c>
      <c r="E9" s="9">
        <v>346</v>
      </c>
    </row>
    <row r="11" spans="1:5" x14ac:dyDescent="0.3">
      <c r="A11" s="21" t="s">
        <v>1587</v>
      </c>
      <c r="B11" s="21" t="s">
        <v>1608</v>
      </c>
      <c r="C11" s="21" t="s">
        <v>1606</v>
      </c>
      <c r="D11" s="14" t="s">
        <v>1580</v>
      </c>
    </row>
    <row r="12" spans="1:5" x14ac:dyDescent="0.3">
      <c r="A12" s="18" t="s">
        <v>72</v>
      </c>
      <c r="B12" s="27">
        <f>C12/D12</f>
        <v>0.23529411764705882</v>
      </c>
      <c r="C12" s="28">
        <v>16</v>
      </c>
      <c r="D12" s="24">
        <v>68</v>
      </c>
    </row>
    <row r="13" spans="1:5" x14ac:dyDescent="0.3">
      <c r="A13" s="4" t="s">
        <v>54</v>
      </c>
      <c r="B13" s="19">
        <f t="shared" ref="B13:B16" si="0">C13/D13</f>
        <v>0.37313432835820898</v>
      </c>
      <c r="C13" s="29">
        <v>25</v>
      </c>
      <c r="D13" s="26">
        <v>67</v>
      </c>
    </row>
    <row r="14" spans="1:5" x14ac:dyDescent="0.3">
      <c r="A14" s="4" t="s">
        <v>41</v>
      </c>
      <c r="B14" s="19">
        <f t="shared" si="0"/>
        <v>0.62857142857142856</v>
      </c>
      <c r="C14" s="29">
        <v>44</v>
      </c>
      <c r="D14" s="26">
        <v>70</v>
      </c>
    </row>
    <row r="15" spans="1:5" x14ac:dyDescent="0.3">
      <c r="A15" s="4" t="s">
        <v>62</v>
      </c>
      <c r="B15" s="19">
        <f t="shared" si="0"/>
        <v>0.76470588235294112</v>
      </c>
      <c r="C15" s="29">
        <v>52</v>
      </c>
      <c r="D15" s="26">
        <v>68</v>
      </c>
    </row>
    <row r="16" spans="1:5" x14ac:dyDescent="0.3">
      <c r="A16" s="18" t="s">
        <v>27</v>
      </c>
      <c r="B16" s="20">
        <f t="shared" si="0"/>
        <v>0.58904109589041098</v>
      </c>
      <c r="C16" s="30">
        <v>43</v>
      </c>
      <c r="D16" s="25">
        <v>73</v>
      </c>
    </row>
    <row r="17" spans="1:5" x14ac:dyDescent="0.3">
      <c r="A17" s="31"/>
      <c r="B17" s="12"/>
      <c r="C17" s="2"/>
      <c r="D17" s="2"/>
    </row>
    <row r="20" spans="1:5" x14ac:dyDescent="0.3">
      <c r="E20" s="11"/>
    </row>
    <row r="21" spans="1:5" x14ac:dyDescent="0.3">
      <c r="E21" s="11"/>
    </row>
    <row r="22" spans="1:5" x14ac:dyDescent="0.3">
      <c r="E22" s="11"/>
    </row>
    <row r="23" spans="1:5" x14ac:dyDescent="0.3">
      <c r="E23" s="11"/>
    </row>
    <row r="24" spans="1:5" x14ac:dyDescent="0.3">
      <c r="E24" s="11"/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7774-0849-4F03-A56C-4A9AA492D0EE}">
  <dimension ref="A1:B9"/>
  <sheetViews>
    <sheetView workbookViewId="0">
      <selection activeCell="H21" sqref="H21"/>
    </sheetView>
  </sheetViews>
  <sheetFormatPr defaultRowHeight="14.4" x14ac:dyDescent="0.3"/>
  <cols>
    <col min="1" max="1" width="16.6640625" bestFit="1" customWidth="1"/>
    <col min="2" max="2" width="12" bestFit="1" customWidth="1"/>
  </cols>
  <sheetData>
    <row r="1" spans="1:2" x14ac:dyDescent="0.3">
      <c r="A1" s="6" t="s">
        <v>19</v>
      </c>
      <c r="B1" t="s">
        <v>47</v>
      </c>
    </row>
    <row r="3" spans="1:2" x14ac:dyDescent="0.3">
      <c r="A3" s="6" t="s">
        <v>1587</v>
      </c>
      <c r="B3" t="s">
        <v>1613</v>
      </c>
    </row>
    <row r="4" spans="1:2" x14ac:dyDescent="0.3">
      <c r="A4" s="7" t="s">
        <v>80</v>
      </c>
      <c r="B4" s="9">
        <v>29</v>
      </c>
    </row>
    <row r="5" spans="1:2" x14ac:dyDescent="0.3">
      <c r="A5" s="7" t="s">
        <v>139</v>
      </c>
      <c r="B5" s="9">
        <v>24</v>
      </c>
    </row>
    <row r="6" spans="1:2" x14ac:dyDescent="0.3">
      <c r="A6" s="7" t="s">
        <v>69</v>
      </c>
      <c r="B6" s="9">
        <v>32</v>
      </c>
    </row>
    <row r="7" spans="1:2" x14ac:dyDescent="0.3">
      <c r="A7" s="7" t="s">
        <v>48</v>
      </c>
      <c r="B7" s="9">
        <v>67</v>
      </c>
    </row>
    <row r="8" spans="1:2" x14ac:dyDescent="0.3">
      <c r="A8" s="7" t="s">
        <v>105</v>
      </c>
      <c r="B8" s="9">
        <v>28</v>
      </c>
    </row>
    <row r="9" spans="1:2" x14ac:dyDescent="0.3">
      <c r="A9" s="7" t="s">
        <v>1588</v>
      </c>
      <c r="B9" s="9">
        <v>180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2514-FDDF-41C0-828E-2FD2858582CD}">
  <dimension ref="A1:G26"/>
  <sheetViews>
    <sheetView tabSelected="1" topLeftCell="A18" workbookViewId="0">
      <selection activeCell="K37" sqref="K37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13" customWidth="1"/>
    <col min="4" max="4" width="14.77734375" customWidth="1"/>
    <col min="5" max="5" width="13.5546875" customWidth="1"/>
  </cols>
  <sheetData>
    <row r="1" spans="1:5" x14ac:dyDescent="0.3">
      <c r="A1" s="6" t="s">
        <v>19</v>
      </c>
      <c r="B1" t="s">
        <v>47</v>
      </c>
    </row>
    <row r="3" spans="1:5" x14ac:dyDescent="0.3">
      <c r="A3" s="6" t="s">
        <v>1589</v>
      </c>
      <c r="B3" s="6" t="s">
        <v>1609</v>
      </c>
    </row>
    <row r="4" spans="1:5" x14ac:dyDescent="0.3">
      <c r="A4" s="6" t="s">
        <v>1587</v>
      </c>
      <c r="B4" t="s">
        <v>66</v>
      </c>
      <c r="C4" t="s">
        <v>45</v>
      </c>
      <c r="D4" t="s">
        <v>31</v>
      </c>
      <c r="E4" t="s">
        <v>1588</v>
      </c>
    </row>
    <row r="5" spans="1:5" x14ac:dyDescent="0.3">
      <c r="A5" s="7" t="s">
        <v>25</v>
      </c>
      <c r="B5" s="9">
        <v>63</v>
      </c>
      <c r="C5" s="9">
        <v>46</v>
      </c>
      <c r="D5" s="9">
        <v>38</v>
      </c>
      <c r="E5" s="9">
        <v>147</v>
      </c>
    </row>
    <row r="6" spans="1:5" x14ac:dyDescent="0.3">
      <c r="A6" s="7" t="s">
        <v>39</v>
      </c>
      <c r="B6" s="9">
        <v>8</v>
      </c>
      <c r="C6" s="9">
        <v>15</v>
      </c>
      <c r="D6" s="9">
        <v>10</v>
      </c>
      <c r="E6" s="9">
        <v>33</v>
      </c>
    </row>
    <row r="7" spans="1:5" x14ac:dyDescent="0.3">
      <c r="A7" s="7" t="s">
        <v>1588</v>
      </c>
      <c r="B7" s="9">
        <v>71</v>
      </c>
      <c r="C7" s="9">
        <v>61</v>
      </c>
      <c r="D7" s="9">
        <v>48</v>
      </c>
      <c r="E7" s="9">
        <v>180</v>
      </c>
    </row>
    <row r="11" spans="1:5" x14ac:dyDescent="0.3">
      <c r="A11" s="6" t="s">
        <v>19</v>
      </c>
      <c r="B11" t="s">
        <v>1605</v>
      </c>
    </row>
    <row r="13" spans="1:5" x14ac:dyDescent="0.3">
      <c r="A13" s="6" t="s">
        <v>1589</v>
      </c>
      <c r="B13" s="6" t="s">
        <v>1609</v>
      </c>
    </row>
    <row r="14" spans="1:5" x14ac:dyDescent="0.3">
      <c r="A14" s="6" t="s">
        <v>1587</v>
      </c>
      <c r="B14" t="s">
        <v>66</v>
      </c>
      <c r="C14" t="s">
        <v>45</v>
      </c>
      <c r="D14" t="s">
        <v>31</v>
      </c>
      <c r="E14" t="s">
        <v>1588</v>
      </c>
    </row>
    <row r="15" spans="1:5" x14ac:dyDescent="0.3">
      <c r="A15" s="7" t="s">
        <v>25</v>
      </c>
      <c r="B15" s="9">
        <v>88</v>
      </c>
      <c r="C15" s="9">
        <v>89</v>
      </c>
      <c r="D15" s="9">
        <v>93</v>
      </c>
      <c r="E15" s="9">
        <v>270</v>
      </c>
    </row>
    <row r="16" spans="1:5" x14ac:dyDescent="0.3">
      <c r="A16" s="7" t="s">
        <v>39</v>
      </c>
      <c r="B16" s="9">
        <v>21</v>
      </c>
      <c r="C16" s="9">
        <v>27</v>
      </c>
      <c r="D16" s="9">
        <v>28</v>
      </c>
      <c r="E16" s="9">
        <v>76</v>
      </c>
    </row>
    <row r="17" spans="1:7" x14ac:dyDescent="0.3">
      <c r="A17" s="7" t="s">
        <v>1588</v>
      </c>
      <c r="B17" s="9">
        <v>109</v>
      </c>
      <c r="C17" s="9">
        <v>116</v>
      </c>
      <c r="D17" s="9">
        <v>121</v>
      </c>
      <c r="E17" s="9">
        <v>346</v>
      </c>
    </row>
    <row r="20" spans="1:7" x14ac:dyDescent="0.3">
      <c r="A20" s="17" t="s">
        <v>1614</v>
      </c>
      <c r="B20" s="17" t="s">
        <v>1615</v>
      </c>
      <c r="C20" s="17" t="s">
        <v>1608</v>
      </c>
      <c r="D20" s="17" t="s">
        <v>1606</v>
      </c>
      <c r="E20" s="17" t="s">
        <v>1580</v>
      </c>
    </row>
    <row r="21" spans="1:7" x14ac:dyDescent="0.3">
      <c r="A21" s="4" t="s">
        <v>25</v>
      </c>
      <c r="B21" s="4" t="s">
        <v>66</v>
      </c>
      <c r="C21" s="32">
        <v>0.71589999999999998</v>
      </c>
      <c r="D21" s="4">
        <v>63</v>
      </c>
      <c r="E21" s="4">
        <v>88</v>
      </c>
      <c r="F21" s="10"/>
    </row>
    <row r="22" spans="1:7" x14ac:dyDescent="0.3">
      <c r="A22" s="4" t="s">
        <v>25</v>
      </c>
      <c r="B22" s="4" t="s">
        <v>45</v>
      </c>
      <c r="C22" s="32">
        <v>0.51690000000000003</v>
      </c>
      <c r="D22" s="4">
        <v>46</v>
      </c>
      <c r="E22" s="4">
        <v>89</v>
      </c>
      <c r="F22" s="10"/>
    </row>
    <row r="23" spans="1:7" x14ac:dyDescent="0.3">
      <c r="A23" s="4" t="s">
        <v>25</v>
      </c>
      <c r="B23" s="4" t="s">
        <v>31</v>
      </c>
      <c r="C23" s="32">
        <v>0.40860000000000002</v>
      </c>
      <c r="D23" s="4">
        <v>38</v>
      </c>
      <c r="E23" s="4">
        <v>93</v>
      </c>
      <c r="F23" s="10"/>
      <c r="G23" s="2"/>
    </row>
    <row r="24" spans="1:7" x14ac:dyDescent="0.3">
      <c r="A24" s="4" t="s">
        <v>39</v>
      </c>
      <c r="B24" s="4" t="s">
        <v>66</v>
      </c>
      <c r="C24" s="32">
        <v>0.38100000000000001</v>
      </c>
      <c r="D24" s="4">
        <v>8</v>
      </c>
      <c r="E24" s="4">
        <v>21</v>
      </c>
      <c r="F24" s="10"/>
    </row>
    <row r="25" spans="1:7" x14ac:dyDescent="0.3">
      <c r="A25" s="4" t="s">
        <v>39</v>
      </c>
      <c r="B25" s="4" t="s">
        <v>45</v>
      </c>
      <c r="C25" s="32">
        <v>0.55559999999999998</v>
      </c>
      <c r="D25" s="4">
        <v>15</v>
      </c>
      <c r="E25" s="4">
        <v>27</v>
      </c>
      <c r="F25" s="10"/>
    </row>
    <row r="26" spans="1:7" x14ac:dyDescent="0.3">
      <c r="A26" s="4" t="s">
        <v>39</v>
      </c>
      <c r="B26" s="4" t="s">
        <v>31</v>
      </c>
      <c r="C26" s="32">
        <v>0.35709999999999997</v>
      </c>
      <c r="D26" s="4">
        <v>10</v>
      </c>
      <c r="E26" s="4">
        <v>28</v>
      </c>
      <c r="F26" s="10"/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537-E6D9-4BD7-9B79-C3A70AD6CBA9}">
  <dimension ref="A1:K3"/>
  <sheetViews>
    <sheetView workbookViewId="0">
      <selection activeCell="C20" sqref="C20"/>
    </sheetView>
  </sheetViews>
  <sheetFormatPr defaultRowHeight="14.4" x14ac:dyDescent="0.3"/>
  <cols>
    <col min="1" max="1" width="14.5546875" customWidth="1"/>
    <col min="2" max="2" width="12.88671875" customWidth="1"/>
    <col min="3" max="3" width="15.6640625" customWidth="1"/>
    <col min="4" max="4" width="15" customWidth="1"/>
  </cols>
  <sheetData>
    <row r="1" spans="1:11" ht="24" customHeight="1" x14ac:dyDescent="0.3">
      <c r="A1" s="17" t="s">
        <v>1616</v>
      </c>
      <c r="B1" s="17" t="s">
        <v>1608</v>
      </c>
      <c r="C1" s="21" t="s">
        <v>1580</v>
      </c>
      <c r="D1" s="14" t="s">
        <v>1606</v>
      </c>
      <c r="K1" s="23"/>
    </row>
    <row r="2" spans="1:11" ht="19.8" customHeight="1" x14ac:dyDescent="0.3">
      <c r="A2" s="4" t="s">
        <v>56</v>
      </c>
      <c r="B2" s="19">
        <f>D2/C2</f>
        <v>0.60317460317460314</v>
      </c>
      <c r="C2" s="4">
        <f>COUNTIFS(Raw_Data!M:M,"COD")</f>
        <v>63</v>
      </c>
      <c r="D2" s="16">
        <f>COUNTIFS(Raw_Data!M:M,"COD",Raw_Data!T:T,"Yes")</f>
        <v>38</v>
      </c>
      <c r="E2" s="11"/>
    </row>
    <row r="3" spans="1:11" x14ac:dyDescent="0.3">
      <c r="A3" s="18" t="s">
        <v>1617</v>
      </c>
      <c r="B3" s="20">
        <f>D3/C3</f>
        <v>0.5</v>
      </c>
      <c r="C3" s="22">
        <f>COUNTIFS(Raw_Data!M:M,"&lt;&gt;COD",Raw_Data!M:M,"&lt;&gt;")</f>
        <v>284</v>
      </c>
      <c r="D3" s="15">
        <f>COUNTIFS(Raw_Data!M:M,"&lt;&gt;COD",Raw_Data!T:T,"Yes")</f>
        <v>142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F532-4688-4EFD-B702-7F2EC83769ED}">
  <dimension ref="A1:B347"/>
  <sheetViews>
    <sheetView zoomScale="115" zoomScaleNormal="115" workbookViewId="0">
      <selection activeCell="F10" sqref="F10"/>
    </sheetView>
  </sheetViews>
  <sheetFormatPr defaultRowHeight="14.4" x14ac:dyDescent="0.3"/>
  <cols>
    <col min="1" max="1" width="25.6640625" customWidth="1"/>
  </cols>
  <sheetData>
    <row r="1" spans="1:2" x14ac:dyDescent="0.3">
      <c r="A1" t="s">
        <v>1578</v>
      </c>
      <c r="B1" t="s">
        <v>1579</v>
      </c>
    </row>
    <row r="2" spans="1:2" x14ac:dyDescent="0.3">
      <c r="A2" t="s">
        <v>1580</v>
      </c>
      <c r="B2">
        <f>COUNTA(Raw_Data!A2:A347)</f>
        <v>346</v>
      </c>
    </row>
    <row r="3" spans="1:2" x14ac:dyDescent="0.3">
      <c r="A3" t="s">
        <v>1581</v>
      </c>
      <c r="B3">
        <f>SUM(Raw_Data!J2:J347)</f>
        <v>1023789</v>
      </c>
    </row>
    <row r="4" spans="1:2" x14ac:dyDescent="0.3">
      <c r="A4" t="s">
        <v>1584</v>
      </c>
      <c r="B4">
        <f>SUM(Raw_Data!I2:I347)</f>
        <v>409</v>
      </c>
    </row>
    <row r="5" spans="1:2" x14ac:dyDescent="0.3">
      <c r="A5" t="s">
        <v>1582</v>
      </c>
      <c r="B5">
        <f>AVERAGE(Raw_Data!J2:J347)</f>
        <v>2958.9277456647401</v>
      </c>
    </row>
    <row r="6" spans="1:2" x14ac:dyDescent="0.3">
      <c r="A6" t="s">
        <v>1583</v>
      </c>
      <c r="B6">
        <f>COUNTIF(Raw_Data!T2:T347,"Yes") /
 COUNTIF(Raw_Data!S2:S347,"Delivered")</f>
        <v>0.55045871559633031</v>
      </c>
    </row>
    <row r="9" spans="1:2" x14ac:dyDescent="0.3">
      <c r="A9" t="s">
        <v>1585</v>
      </c>
      <c r="B9" t="s">
        <v>1586</v>
      </c>
    </row>
    <row r="10" spans="1:2" x14ac:dyDescent="0.3">
      <c r="A10" t="str">
        <f>TEXT(Raw_Data!B2,"MMM")</f>
        <v>Oct</v>
      </c>
    </row>
    <row r="11" spans="1:2" x14ac:dyDescent="0.3">
      <c r="A11" t="str">
        <f>TEXT(Raw_Data!B3,"MMM")</f>
        <v>Oct</v>
      </c>
    </row>
    <row r="12" spans="1:2" x14ac:dyDescent="0.3">
      <c r="A12" t="str">
        <f>TEXT(Raw_Data!B4,"MMM")</f>
        <v>Jan</v>
      </c>
    </row>
    <row r="13" spans="1:2" x14ac:dyDescent="0.3">
      <c r="A13" t="str">
        <f>TEXT(Raw_Data!B5,"MMM")</f>
        <v>Oct</v>
      </c>
    </row>
    <row r="14" spans="1:2" x14ac:dyDescent="0.3">
      <c r="A14" t="str">
        <f>TEXT(Raw_Data!B6,"MMM")</f>
        <v>Oct</v>
      </c>
    </row>
    <row r="15" spans="1:2" x14ac:dyDescent="0.3">
      <c r="A15" t="str">
        <f>TEXT(Raw_Data!B7,"MMM")</f>
        <v>Oct</v>
      </c>
    </row>
    <row r="16" spans="1:2" x14ac:dyDescent="0.3">
      <c r="A16" t="str">
        <f>TEXT(Raw_Data!B8,"MMM")</f>
        <v>Oct</v>
      </c>
    </row>
    <row r="17" spans="1:1" x14ac:dyDescent="0.3">
      <c r="A17" t="str">
        <f>TEXT(Raw_Data!B9,"MMM")</f>
        <v>Oct</v>
      </c>
    </row>
    <row r="18" spans="1:1" x14ac:dyDescent="0.3">
      <c r="A18" t="str">
        <f>TEXT(Raw_Data!B10,"MMM")</f>
        <v>Oct</v>
      </c>
    </row>
    <row r="19" spans="1:1" x14ac:dyDescent="0.3">
      <c r="A19" t="str">
        <f>TEXT(Raw_Data!B11,"MMM")</f>
        <v>Oct</v>
      </c>
    </row>
    <row r="20" spans="1:1" x14ac:dyDescent="0.3">
      <c r="A20" t="str">
        <f>TEXT(Raw_Data!B12,"MMM")</f>
        <v>Oct</v>
      </c>
    </row>
    <row r="21" spans="1:1" x14ac:dyDescent="0.3">
      <c r="A21" t="str">
        <f>TEXT(Raw_Data!B13,"MMM")</f>
        <v>Oct</v>
      </c>
    </row>
    <row r="22" spans="1:1" x14ac:dyDescent="0.3">
      <c r="A22" t="str">
        <f>TEXT(Raw_Data!B14,"MMM")</f>
        <v>Oct</v>
      </c>
    </row>
    <row r="23" spans="1:1" x14ac:dyDescent="0.3">
      <c r="A23" t="str">
        <f>TEXT(Raw_Data!B15,"MMM")</f>
        <v>Oct</v>
      </c>
    </row>
    <row r="24" spans="1:1" x14ac:dyDescent="0.3">
      <c r="A24" t="str">
        <f>TEXT(Raw_Data!B16,"MMM")</f>
        <v>Oct</v>
      </c>
    </row>
    <row r="25" spans="1:1" x14ac:dyDescent="0.3">
      <c r="A25" t="str">
        <f>TEXT(Raw_Data!B17,"MMM")</f>
        <v>Oct</v>
      </c>
    </row>
    <row r="26" spans="1:1" x14ac:dyDescent="0.3">
      <c r="A26" t="str">
        <f>TEXT(Raw_Data!B18,"MMM")</f>
        <v>Oct</v>
      </c>
    </row>
    <row r="27" spans="1:1" x14ac:dyDescent="0.3">
      <c r="A27" t="str">
        <f>TEXT(Raw_Data!B19,"MMM")</f>
        <v>Oct</v>
      </c>
    </row>
    <row r="28" spans="1:1" x14ac:dyDescent="0.3">
      <c r="A28" t="str">
        <f>TEXT(Raw_Data!B20,"MMM")</f>
        <v>Oct</v>
      </c>
    </row>
    <row r="29" spans="1:1" x14ac:dyDescent="0.3">
      <c r="A29" t="str">
        <f>TEXT(Raw_Data!B21,"MMM")</f>
        <v>Oct</v>
      </c>
    </row>
    <row r="30" spans="1:1" x14ac:dyDescent="0.3">
      <c r="A30" t="str">
        <f>TEXT(Raw_Data!B22,"MMM")</f>
        <v>Oct</v>
      </c>
    </row>
    <row r="31" spans="1:1" x14ac:dyDescent="0.3">
      <c r="A31" t="str">
        <f>TEXT(Raw_Data!B23,"MMM")</f>
        <v>Oct</v>
      </c>
    </row>
    <row r="32" spans="1:1" x14ac:dyDescent="0.3">
      <c r="A32" t="str">
        <f>TEXT(Raw_Data!B24,"MMM")</f>
        <v>Oct</v>
      </c>
    </row>
    <row r="33" spans="1:1" x14ac:dyDescent="0.3">
      <c r="A33" t="str">
        <f>TEXT(Raw_Data!B25,"MMM")</f>
        <v>Oct</v>
      </c>
    </row>
    <row r="34" spans="1:1" x14ac:dyDescent="0.3">
      <c r="A34" t="str">
        <f>TEXT(Raw_Data!B26,"MMM")</f>
        <v>Oct</v>
      </c>
    </row>
    <row r="35" spans="1:1" x14ac:dyDescent="0.3">
      <c r="A35" t="str">
        <f>TEXT(Raw_Data!B27,"MMM")</f>
        <v>Oct</v>
      </c>
    </row>
    <row r="36" spans="1:1" x14ac:dyDescent="0.3">
      <c r="A36" t="str">
        <f>TEXT(Raw_Data!B28,"MMM")</f>
        <v>Oct</v>
      </c>
    </row>
    <row r="37" spans="1:1" x14ac:dyDescent="0.3">
      <c r="A37" t="str">
        <f>TEXT(Raw_Data!B29,"MMM")</f>
        <v>Oct</v>
      </c>
    </row>
    <row r="38" spans="1:1" x14ac:dyDescent="0.3">
      <c r="A38" t="str">
        <f>TEXT(Raw_Data!B30,"MMM")</f>
        <v>Oct</v>
      </c>
    </row>
    <row r="39" spans="1:1" x14ac:dyDescent="0.3">
      <c r="A39" t="str">
        <f>TEXT(Raw_Data!B31,"MMM")</f>
        <v>Oct</v>
      </c>
    </row>
    <row r="40" spans="1:1" x14ac:dyDescent="0.3">
      <c r="A40" t="str">
        <f>TEXT(Raw_Data!B32,"MMM")</f>
        <v>Oct</v>
      </c>
    </row>
    <row r="41" spans="1:1" x14ac:dyDescent="0.3">
      <c r="A41" t="str">
        <f>TEXT(Raw_Data!B33,"MMM")</f>
        <v>Oct</v>
      </c>
    </row>
    <row r="42" spans="1:1" x14ac:dyDescent="0.3">
      <c r="A42" t="str">
        <f>TEXT(Raw_Data!B34,"MMM")</f>
        <v>Oct</v>
      </c>
    </row>
    <row r="43" spans="1:1" x14ac:dyDescent="0.3">
      <c r="A43" t="str">
        <f>TEXT(Raw_Data!B35,"MMM")</f>
        <v>Oct</v>
      </c>
    </row>
    <row r="44" spans="1:1" x14ac:dyDescent="0.3">
      <c r="A44" t="str">
        <f>TEXT(Raw_Data!B36,"MMM")</f>
        <v>Oct</v>
      </c>
    </row>
    <row r="45" spans="1:1" x14ac:dyDescent="0.3">
      <c r="A45" t="str">
        <f>TEXT(Raw_Data!B37,"MMM")</f>
        <v>Oct</v>
      </c>
    </row>
    <row r="46" spans="1:1" x14ac:dyDescent="0.3">
      <c r="A46" t="str">
        <f>TEXT(Raw_Data!B38,"MMM")</f>
        <v>Oct</v>
      </c>
    </row>
    <row r="47" spans="1:1" x14ac:dyDescent="0.3">
      <c r="A47" t="str">
        <f>TEXT(Raw_Data!B39,"MMM")</f>
        <v>Oct</v>
      </c>
    </row>
    <row r="48" spans="1:1" x14ac:dyDescent="0.3">
      <c r="A48" t="str">
        <f>TEXT(Raw_Data!B40,"MMM")</f>
        <v>Oct</v>
      </c>
    </row>
    <row r="49" spans="1:1" x14ac:dyDescent="0.3">
      <c r="A49" t="str">
        <f>TEXT(Raw_Data!B41,"MMM")</f>
        <v>Oct</v>
      </c>
    </row>
    <row r="50" spans="1:1" x14ac:dyDescent="0.3">
      <c r="A50" t="str">
        <f>TEXT(Raw_Data!B42,"MMM")</f>
        <v>Oct</v>
      </c>
    </row>
    <row r="51" spans="1:1" x14ac:dyDescent="0.3">
      <c r="A51" t="str">
        <f>TEXT(Raw_Data!B43,"MMM")</f>
        <v>Oct</v>
      </c>
    </row>
    <row r="52" spans="1:1" x14ac:dyDescent="0.3">
      <c r="A52" t="str">
        <f>TEXT(Raw_Data!B44,"MMM")</f>
        <v>Oct</v>
      </c>
    </row>
    <row r="53" spans="1:1" x14ac:dyDescent="0.3">
      <c r="A53" t="str">
        <f>TEXT(Raw_Data!B45,"MMM")</f>
        <v>Oct</v>
      </c>
    </row>
    <row r="54" spans="1:1" x14ac:dyDescent="0.3">
      <c r="A54" t="str">
        <f>TEXT(Raw_Data!B46,"MMM")</f>
        <v>Oct</v>
      </c>
    </row>
    <row r="55" spans="1:1" x14ac:dyDescent="0.3">
      <c r="A55" t="str">
        <f>TEXT(Raw_Data!B47,"MMM")</f>
        <v>Oct</v>
      </c>
    </row>
    <row r="56" spans="1:1" x14ac:dyDescent="0.3">
      <c r="A56" t="str">
        <f>TEXT(Raw_Data!B48,"MMM")</f>
        <v>Oct</v>
      </c>
    </row>
    <row r="57" spans="1:1" x14ac:dyDescent="0.3">
      <c r="A57" t="str">
        <f>TEXT(Raw_Data!B49,"MMM")</f>
        <v>Oct</v>
      </c>
    </row>
    <row r="58" spans="1:1" x14ac:dyDescent="0.3">
      <c r="A58" t="str">
        <f>TEXT(Raw_Data!B50,"MMM")</f>
        <v>Oct</v>
      </c>
    </row>
    <row r="59" spans="1:1" x14ac:dyDescent="0.3">
      <c r="A59" t="str">
        <f>TEXT(Raw_Data!B51,"MMM")</f>
        <v>Oct</v>
      </c>
    </row>
    <row r="60" spans="1:1" x14ac:dyDescent="0.3">
      <c r="A60" t="str">
        <f>TEXT(Raw_Data!B52,"MMM")</f>
        <v>Oct</v>
      </c>
    </row>
    <row r="61" spans="1:1" x14ac:dyDescent="0.3">
      <c r="A61" t="str">
        <f>TEXT(Raw_Data!B53,"MMM")</f>
        <v>Oct</v>
      </c>
    </row>
    <row r="62" spans="1:1" x14ac:dyDescent="0.3">
      <c r="A62" t="str">
        <f>TEXT(Raw_Data!B54,"MMM")</f>
        <v>Oct</v>
      </c>
    </row>
    <row r="63" spans="1:1" x14ac:dyDescent="0.3">
      <c r="A63" t="str">
        <f>TEXT(Raw_Data!B55,"MMM")</f>
        <v>Oct</v>
      </c>
    </row>
    <row r="64" spans="1:1" x14ac:dyDescent="0.3">
      <c r="A64" t="str">
        <f>TEXT(Raw_Data!B56,"MMM")</f>
        <v>Oct</v>
      </c>
    </row>
    <row r="65" spans="1:1" x14ac:dyDescent="0.3">
      <c r="A65" t="str">
        <f>TEXT(Raw_Data!B57,"MMM")</f>
        <v>Oct</v>
      </c>
    </row>
    <row r="66" spans="1:1" x14ac:dyDescent="0.3">
      <c r="A66" t="str">
        <f>TEXT(Raw_Data!B58,"MMM")</f>
        <v>Oct</v>
      </c>
    </row>
    <row r="67" spans="1:1" x14ac:dyDescent="0.3">
      <c r="A67" t="str">
        <f>TEXT(Raw_Data!B59,"MMM")</f>
        <v>Oct</v>
      </c>
    </row>
    <row r="68" spans="1:1" x14ac:dyDescent="0.3">
      <c r="A68" t="str">
        <f>TEXT(Raw_Data!B60,"MMM")</f>
        <v>Oct</v>
      </c>
    </row>
    <row r="69" spans="1:1" x14ac:dyDescent="0.3">
      <c r="A69" t="str">
        <f>TEXT(Raw_Data!B61,"MMM")</f>
        <v>Oct</v>
      </c>
    </row>
    <row r="70" spans="1:1" x14ac:dyDescent="0.3">
      <c r="A70" t="str">
        <f>TEXT(Raw_Data!B62,"MMM")</f>
        <v>Oct</v>
      </c>
    </row>
    <row r="71" spans="1:1" x14ac:dyDescent="0.3">
      <c r="A71" t="str">
        <f>TEXT(Raw_Data!B63,"MMM")</f>
        <v>Oct</v>
      </c>
    </row>
    <row r="72" spans="1:1" x14ac:dyDescent="0.3">
      <c r="A72" t="str">
        <f>TEXT(Raw_Data!B64,"MMM")</f>
        <v>Oct</v>
      </c>
    </row>
    <row r="73" spans="1:1" x14ac:dyDescent="0.3">
      <c r="A73" t="str">
        <f>TEXT(Raw_Data!B65,"MMM")</f>
        <v>Oct</v>
      </c>
    </row>
    <row r="74" spans="1:1" x14ac:dyDescent="0.3">
      <c r="A74" t="str">
        <f>TEXT(Raw_Data!B66,"MMM")</f>
        <v>Oct</v>
      </c>
    </row>
    <row r="75" spans="1:1" x14ac:dyDescent="0.3">
      <c r="A75" t="str">
        <f>TEXT(Raw_Data!B67,"MMM")</f>
        <v>Oct</v>
      </c>
    </row>
    <row r="76" spans="1:1" x14ac:dyDescent="0.3">
      <c r="A76" t="str">
        <f>TEXT(Raw_Data!B68,"MMM")</f>
        <v>Oct</v>
      </c>
    </row>
    <row r="77" spans="1:1" x14ac:dyDescent="0.3">
      <c r="A77" t="str">
        <f>TEXT(Raw_Data!B69,"MMM")</f>
        <v>Oct</v>
      </c>
    </row>
    <row r="78" spans="1:1" x14ac:dyDescent="0.3">
      <c r="A78" t="str">
        <f>TEXT(Raw_Data!B70,"MMM")</f>
        <v>Oct</v>
      </c>
    </row>
    <row r="79" spans="1:1" x14ac:dyDescent="0.3">
      <c r="A79" t="str">
        <f>TEXT(Raw_Data!B71,"MMM")</f>
        <v>Oct</v>
      </c>
    </row>
    <row r="80" spans="1:1" x14ac:dyDescent="0.3">
      <c r="A80" t="str">
        <f>TEXT(Raw_Data!B72,"MMM")</f>
        <v>Oct</v>
      </c>
    </row>
    <row r="81" spans="1:1" x14ac:dyDescent="0.3">
      <c r="A81" t="str">
        <f>TEXT(Raw_Data!B73,"MMM")</f>
        <v>Oct</v>
      </c>
    </row>
    <row r="82" spans="1:1" x14ac:dyDescent="0.3">
      <c r="A82" t="str">
        <f>TEXT(Raw_Data!B74,"MMM")</f>
        <v>Oct</v>
      </c>
    </row>
    <row r="83" spans="1:1" x14ac:dyDescent="0.3">
      <c r="A83" t="str">
        <f>TEXT(Raw_Data!B75,"MMM")</f>
        <v>Oct</v>
      </c>
    </row>
    <row r="84" spans="1:1" x14ac:dyDescent="0.3">
      <c r="A84" t="str">
        <f>TEXT(Raw_Data!B76,"MMM")</f>
        <v>Oct</v>
      </c>
    </row>
    <row r="85" spans="1:1" x14ac:dyDescent="0.3">
      <c r="A85" t="str">
        <f>TEXT(Raw_Data!B77,"MMM")</f>
        <v>Oct</v>
      </c>
    </row>
    <row r="86" spans="1:1" x14ac:dyDescent="0.3">
      <c r="A86" t="str">
        <f>TEXT(Raw_Data!B78,"MMM")</f>
        <v>Oct</v>
      </c>
    </row>
    <row r="87" spans="1:1" x14ac:dyDescent="0.3">
      <c r="A87" t="str">
        <f>TEXT(Raw_Data!B79,"MMM")</f>
        <v>Oct</v>
      </c>
    </row>
    <row r="88" spans="1:1" x14ac:dyDescent="0.3">
      <c r="A88" t="str">
        <f>TEXT(Raw_Data!B80,"MMM")</f>
        <v>Oct</v>
      </c>
    </row>
    <row r="89" spans="1:1" x14ac:dyDescent="0.3">
      <c r="A89" t="str">
        <f>TEXT(Raw_Data!B81,"MMM")</f>
        <v>Oct</v>
      </c>
    </row>
    <row r="90" spans="1:1" x14ac:dyDescent="0.3">
      <c r="A90" t="str">
        <f>TEXT(Raw_Data!B82,"MMM")</f>
        <v>Oct</v>
      </c>
    </row>
    <row r="91" spans="1:1" x14ac:dyDescent="0.3">
      <c r="A91" t="str">
        <f>TEXT(Raw_Data!B83,"MMM")</f>
        <v>Oct</v>
      </c>
    </row>
    <row r="92" spans="1:1" x14ac:dyDescent="0.3">
      <c r="A92" t="str">
        <f>TEXT(Raw_Data!B84,"MMM")</f>
        <v>Oct</v>
      </c>
    </row>
    <row r="93" spans="1:1" x14ac:dyDescent="0.3">
      <c r="A93" t="str">
        <f>TEXT(Raw_Data!B85,"MMM")</f>
        <v>Oct</v>
      </c>
    </row>
    <row r="94" spans="1:1" x14ac:dyDescent="0.3">
      <c r="A94" t="str">
        <f>TEXT(Raw_Data!B86,"MMM")</f>
        <v>Oct</v>
      </c>
    </row>
    <row r="95" spans="1:1" x14ac:dyDescent="0.3">
      <c r="A95" t="str">
        <f>TEXT(Raw_Data!B87,"MMM")</f>
        <v>Oct</v>
      </c>
    </row>
    <row r="96" spans="1:1" x14ac:dyDescent="0.3">
      <c r="A96" t="str">
        <f>TEXT(Raw_Data!B88,"MMM")</f>
        <v>Oct</v>
      </c>
    </row>
    <row r="97" spans="1:1" x14ac:dyDescent="0.3">
      <c r="A97" t="str">
        <f>TEXT(Raw_Data!B89,"MMM")</f>
        <v>Oct</v>
      </c>
    </row>
    <row r="98" spans="1:1" x14ac:dyDescent="0.3">
      <c r="A98" t="str">
        <f>TEXT(Raw_Data!B90,"MMM")</f>
        <v>Oct</v>
      </c>
    </row>
    <row r="99" spans="1:1" x14ac:dyDescent="0.3">
      <c r="A99" t="str">
        <f>TEXT(Raw_Data!B91,"MMM")</f>
        <v>Oct</v>
      </c>
    </row>
    <row r="100" spans="1:1" x14ac:dyDescent="0.3">
      <c r="A100" t="str">
        <f>TEXT(Raw_Data!B92,"MMM")</f>
        <v>Oct</v>
      </c>
    </row>
    <row r="101" spans="1:1" x14ac:dyDescent="0.3">
      <c r="A101" t="str">
        <f>TEXT(Raw_Data!B93,"MMM")</f>
        <v>Oct</v>
      </c>
    </row>
    <row r="102" spans="1:1" x14ac:dyDescent="0.3">
      <c r="A102" t="str">
        <f>TEXT(Raw_Data!B94,"MMM")</f>
        <v>Oct</v>
      </c>
    </row>
    <row r="103" spans="1:1" x14ac:dyDescent="0.3">
      <c r="A103" t="str">
        <f>TEXT(Raw_Data!B95,"MMM")</f>
        <v>Oct</v>
      </c>
    </row>
    <row r="104" spans="1:1" x14ac:dyDescent="0.3">
      <c r="A104" t="str">
        <f>TEXT(Raw_Data!B96,"MMM")</f>
        <v>Oct</v>
      </c>
    </row>
    <row r="105" spans="1:1" x14ac:dyDescent="0.3">
      <c r="A105" t="str">
        <f>TEXT(Raw_Data!B97,"MMM")</f>
        <v>Oct</v>
      </c>
    </row>
    <row r="106" spans="1:1" x14ac:dyDescent="0.3">
      <c r="A106" t="str">
        <f>TEXT(Raw_Data!B98,"MMM")</f>
        <v>Oct</v>
      </c>
    </row>
    <row r="107" spans="1:1" x14ac:dyDescent="0.3">
      <c r="A107" t="str">
        <f>TEXT(Raw_Data!B99,"MMM")</f>
        <v>Oct</v>
      </c>
    </row>
    <row r="108" spans="1:1" x14ac:dyDescent="0.3">
      <c r="A108" t="str">
        <f>TEXT(Raw_Data!B100,"MMM")</f>
        <v>Oct</v>
      </c>
    </row>
    <row r="109" spans="1:1" x14ac:dyDescent="0.3">
      <c r="A109" t="str">
        <f>TEXT(Raw_Data!B101,"MMM")</f>
        <v>Oct</v>
      </c>
    </row>
    <row r="110" spans="1:1" x14ac:dyDescent="0.3">
      <c r="A110" t="str">
        <f>TEXT(Raw_Data!B102,"MMM")</f>
        <v>Oct</v>
      </c>
    </row>
    <row r="111" spans="1:1" x14ac:dyDescent="0.3">
      <c r="A111" t="str">
        <f>TEXT(Raw_Data!B103,"MMM")</f>
        <v>Oct</v>
      </c>
    </row>
    <row r="112" spans="1:1" x14ac:dyDescent="0.3">
      <c r="A112" t="str">
        <f>TEXT(Raw_Data!B104,"MMM")</f>
        <v>Oct</v>
      </c>
    </row>
    <row r="113" spans="1:1" x14ac:dyDescent="0.3">
      <c r="A113" t="str">
        <f>TEXT(Raw_Data!B105,"MMM")</f>
        <v>Oct</v>
      </c>
    </row>
    <row r="114" spans="1:1" x14ac:dyDescent="0.3">
      <c r="A114" t="str">
        <f>TEXT(Raw_Data!B106,"MMM")</f>
        <v>Oct</v>
      </c>
    </row>
    <row r="115" spans="1:1" x14ac:dyDescent="0.3">
      <c r="A115" t="str">
        <f>TEXT(Raw_Data!B107,"MMM")</f>
        <v>Oct</v>
      </c>
    </row>
    <row r="116" spans="1:1" x14ac:dyDescent="0.3">
      <c r="A116" t="str">
        <f>TEXT(Raw_Data!B108,"MMM")</f>
        <v>Oct</v>
      </c>
    </row>
    <row r="117" spans="1:1" x14ac:dyDescent="0.3">
      <c r="A117" t="str">
        <f>TEXT(Raw_Data!B109,"MMM")</f>
        <v>Oct</v>
      </c>
    </row>
    <row r="118" spans="1:1" x14ac:dyDescent="0.3">
      <c r="A118" t="str">
        <f>TEXT(Raw_Data!B110,"MMM")</f>
        <v>Oct</v>
      </c>
    </row>
    <row r="119" spans="1:1" x14ac:dyDescent="0.3">
      <c r="A119" t="str">
        <f>TEXT(Raw_Data!B111,"MMM")</f>
        <v>Oct</v>
      </c>
    </row>
    <row r="120" spans="1:1" x14ac:dyDescent="0.3">
      <c r="A120" t="str">
        <f>TEXT(Raw_Data!B112,"MMM")</f>
        <v>Oct</v>
      </c>
    </row>
    <row r="121" spans="1:1" x14ac:dyDescent="0.3">
      <c r="A121" t="str">
        <f>TEXT(Raw_Data!B113,"MMM")</f>
        <v>Oct</v>
      </c>
    </row>
    <row r="122" spans="1:1" x14ac:dyDescent="0.3">
      <c r="A122" t="str">
        <f>TEXT(Raw_Data!B114,"MMM")</f>
        <v>Oct</v>
      </c>
    </row>
    <row r="123" spans="1:1" x14ac:dyDescent="0.3">
      <c r="A123" t="str">
        <f>TEXT(Raw_Data!B115,"MMM")</f>
        <v>Oct</v>
      </c>
    </row>
    <row r="124" spans="1:1" x14ac:dyDescent="0.3">
      <c r="A124" t="str">
        <f>TEXT(Raw_Data!B116,"MMM")</f>
        <v>Oct</v>
      </c>
    </row>
    <row r="125" spans="1:1" x14ac:dyDescent="0.3">
      <c r="A125" t="str">
        <f>TEXT(Raw_Data!B117,"MMM")</f>
        <v>Oct</v>
      </c>
    </row>
    <row r="126" spans="1:1" x14ac:dyDescent="0.3">
      <c r="A126" t="str">
        <f>TEXT(Raw_Data!B118,"MMM")</f>
        <v>Oct</v>
      </c>
    </row>
    <row r="127" spans="1:1" x14ac:dyDescent="0.3">
      <c r="A127" t="str">
        <f>TEXT(Raw_Data!B119,"MMM")</f>
        <v>Oct</v>
      </c>
    </row>
    <row r="128" spans="1:1" x14ac:dyDescent="0.3">
      <c r="A128" t="str">
        <f>TEXT(Raw_Data!B120,"MMM")</f>
        <v>Oct</v>
      </c>
    </row>
    <row r="129" spans="1:1" x14ac:dyDescent="0.3">
      <c r="A129" t="str">
        <f>TEXT(Raw_Data!B121,"MMM")</f>
        <v>Oct</v>
      </c>
    </row>
    <row r="130" spans="1:1" x14ac:dyDescent="0.3">
      <c r="A130" t="str">
        <f>TEXT(Raw_Data!B122,"MMM")</f>
        <v>Oct</v>
      </c>
    </row>
    <row r="131" spans="1:1" x14ac:dyDescent="0.3">
      <c r="A131" t="str">
        <f>TEXT(Raw_Data!B123,"MMM")</f>
        <v>Oct</v>
      </c>
    </row>
    <row r="132" spans="1:1" x14ac:dyDescent="0.3">
      <c r="A132" t="str">
        <f>TEXT(Raw_Data!B124,"MMM")</f>
        <v>Oct</v>
      </c>
    </row>
    <row r="133" spans="1:1" x14ac:dyDescent="0.3">
      <c r="A133" t="str">
        <f>TEXT(Raw_Data!B125,"MMM")</f>
        <v>Oct</v>
      </c>
    </row>
    <row r="134" spans="1:1" x14ac:dyDescent="0.3">
      <c r="A134" t="str">
        <f>TEXT(Raw_Data!B126,"MMM")</f>
        <v>Oct</v>
      </c>
    </row>
    <row r="135" spans="1:1" x14ac:dyDescent="0.3">
      <c r="A135" t="str">
        <f>TEXT(Raw_Data!B127,"MMM")</f>
        <v>Oct</v>
      </c>
    </row>
    <row r="136" spans="1:1" x14ac:dyDescent="0.3">
      <c r="A136" t="str">
        <f>TEXT(Raw_Data!B128,"MMM")</f>
        <v>Oct</v>
      </c>
    </row>
    <row r="137" spans="1:1" x14ac:dyDescent="0.3">
      <c r="A137" t="str">
        <f>TEXT(Raw_Data!B129,"MMM")</f>
        <v>Oct</v>
      </c>
    </row>
    <row r="138" spans="1:1" x14ac:dyDescent="0.3">
      <c r="A138" t="str">
        <f>TEXT(Raw_Data!B130,"MMM")</f>
        <v>Oct</v>
      </c>
    </row>
    <row r="139" spans="1:1" x14ac:dyDescent="0.3">
      <c r="A139" t="str">
        <f>TEXT(Raw_Data!B131,"MMM")</f>
        <v>Oct</v>
      </c>
    </row>
    <row r="140" spans="1:1" x14ac:dyDescent="0.3">
      <c r="A140" t="str">
        <f>TEXT(Raw_Data!B132,"MMM")</f>
        <v>Oct</v>
      </c>
    </row>
    <row r="141" spans="1:1" x14ac:dyDescent="0.3">
      <c r="A141" t="str">
        <f>TEXT(Raw_Data!B133,"MMM")</f>
        <v>Nov</v>
      </c>
    </row>
    <row r="142" spans="1:1" x14ac:dyDescent="0.3">
      <c r="A142" t="str">
        <f>TEXT(Raw_Data!B134,"MMM")</f>
        <v>Nov</v>
      </c>
    </row>
    <row r="143" spans="1:1" x14ac:dyDescent="0.3">
      <c r="A143" t="str">
        <f>TEXT(Raw_Data!B135,"MMM")</f>
        <v>Nov</v>
      </c>
    </row>
    <row r="144" spans="1:1" x14ac:dyDescent="0.3">
      <c r="A144" t="str">
        <f>TEXT(Raw_Data!B136,"MMM")</f>
        <v>Nov</v>
      </c>
    </row>
    <row r="145" spans="1:1" x14ac:dyDescent="0.3">
      <c r="A145" t="str">
        <f>TEXT(Raw_Data!B137,"MMM")</f>
        <v>Nov</v>
      </c>
    </row>
    <row r="146" spans="1:1" x14ac:dyDescent="0.3">
      <c r="A146" t="str">
        <f>TEXT(Raw_Data!B138,"MMM")</f>
        <v>Nov</v>
      </c>
    </row>
    <row r="147" spans="1:1" x14ac:dyDescent="0.3">
      <c r="A147" t="str">
        <f>TEXT(Raw_Data!B139,"MMM")</f>
        <v>Nov</v>
      </c>
    </row>
    <row r="148" spans="1:1" x14ac:dyDescent="0.3">
      <c r="A148" t="str">
        <f>TEXT(Raw_Data!B140,"MMM")</f>
        <v>Nov</v>
      </c>
    </row>
    <row r="149" spans="1:1" x14ac:dyDescent="0.3">
      <c r="A149" t="str">
        <f>TEXT(Raw_Data!B141,"MMM")</f>
        <v>Nov</v>
      </c>
    </row>
    <row r="150" spans="1:1" x14ac:dyDescent="0.3">
      <c r="A150" t="str">
        <f>TEXT(Raw_Data!B142,"MMM")</f>
        <v>Nov</v>
      </c>
    </row>
    <row r="151" spans="1:1" x14ac:dyDescent="0.3">
      <c r="A151" t="str">
        <f>TEXT(Raw_Data!B143,"MMM")</f>
        <v>Nov</v>
      </c>
    </row>
    <row r="152" spans="1:1" x14ac:dyDescent="0.3">
      <c r="A152" t="str">
        <f>TEXT(Raw_Data!B144,"MMM")</f>
        <v>Nov</v>
      </c>
    </row>
    <row r="153" spans="1:1" x14ac:dyDescent="0.3">
      <c r="A153" t="str">
        <f>TEXT(Raw_Data!B145,"MMM")</f>
        <v>Nov</v>
      </c>
    </row>
    <row r="154" spans="1:1" x14ac:dyDescent="0.3">
      <c r="A154" t="str">
        <f>TEXT(Raw_Data!B146,"MMM")</f>
        <v>Nov</v>
      </c>
    </row>
    <row r="155" spans="1:1" x14ac:dyDescent="0.3">
      <c r="A155" t="str">
        <f>TEXT(Raw_Data!B147,"MMM")</f>
        <v>Nov</v>
      </c>
    </row>
    <row r="156" spans="1:1" x14ac:dyDescent="0.3">
      <c r="A156" t="str">
        <f>TEXT(Raw_Data!B148,"MMM")</f>
        <v>Nov</v>
      </c>
    </row>
    <row r="157" spans="1:1" x14ac:dyDescent="0.3">
      <c r="A157" t="str">
        <f>TEXT(Raw_Data!B149,"MMM")</f>
        <v>Nov</v>
      </c>
    </row>
    <row r="158" spans="1:1" x14ac:dyDescent="0.3">
      <c r="A158" t="str">
        <f>TEXT(Raw_Data!B150,"MMM")</f>
        <v>Nov</v>
      </c>
    </row>
    <row r="159" spans="1:1" x14ac:dyDescent="0.3">
      <c r="A159" t="str">
        <f>TEXT(Raw_Data!B151,"MMM")</f>
        <v>Nov</v>
      </c>
    </row>
    <row r="160" spans="1:1" x14ac:dyDescent="0.3">
      <c r="A160" t="str">
        <f>TEXT(Raw_Data!B152,"MMM")</f>
        <v>Nov</v>
      </c>
    </row>
    <row r="161" spans="1:1" x14ac:dyDescent="0.3">
      <c r="A161" t="str">
        <f>TEXT(Raw_Data!B153,"MMM")</f>
        <v>Nov</v>
      </c>
    </row>
    <row r="162" spans="1:1" x14ac:dyDescent="0.3">
      <c r="A162" t="str">
        <f>TEXT(Raw_Data!B154,"MMM")</f>
        <v>Nov</v>
      </c>
    </row>
    <row r="163" spans="1:1" x14ac:dyDescent="0.3">
      <c r="A163" t="str">
        <f>TEXT(Raw_Data!B155,"MMM")</f>
        <v>Nov</v>
      </c>
    </row>
    <row r="164" spans="1:1" x14ac:dyDescent="0.3">
      <c r="A164" t="str">
        <f>TEXT(Raw_Data!B156,"MMM")</f>
        <v>Nov</v>
      </c>
    </row>
    <row r="165" spans="1:1" x14ac:dyDescent="0.3">
      <c r="A165" t="str">
        <f>TEXT(Raw_Data!B157,"MMM")</f>
        <v>Nov</v>
      </c>
    </row>
    <row r="166" spans="1:1" x14ac:dyDescent="0.3">
      <c r="A166" t="str">
        <f>TEXT(Raw_Data!B158,"MMM")</f>
        <v>Nov</v>
      </c>
    </row>
    <row r="167" spans="1:1" x14ac:dyDescent="0.3">
      <c r="A167" t="str">
        <f>TEXT(Raw_Data!B159,"MMM")</f>
        <v>Nov</v>
      </c>
    </row>
    <row r="168" spans="1:1" x14ac:dyDescent="0.3">
      <c r="A168" t="str">
        <f>TEXT(Raw_Data!B160,"MMM")</f>
        <v>Nov</v>
      </c>
    </row>
    <row r="169" spans="1:1" x14ac:dyDescent="0.3">
      <c r="A169" t="str">
        <f>TEXT(Raw_Data!B161,"MMM")</f>
        <v>Nov</v>
      </c>
    </row>
    <row r="170" spans="1:1" x14ac:dyDescent="0.3">
      <c r="A170" t="str">
        <f>TEXT(Raw_Data!B162,"MMM")</f>
        <v>Nov</v>
      </c>
    </row>
    <row r="171" spans="1:1" x14ac:dyDescent="0.3">
      <c r="A171" t="str">
        <f>TEXT(Raw_Data!B163,"MMM")</f>
        <v>Nov</v>
      </c>
    </row>
    <row r="172" spans="1:1" x14ac:dyDescent="0.3">
      <c r="A172" t="str">
        <f>TEXT(Raw_Data!B164,"MMM")</f>
        <v>Nov</v>
      </c>
    </row>
    <row r="173" spans="1:1" x14ac:dyDescent="0.3">
      <c r="A173" t="str">
        <f>TEXT(Raw_Data!B165,"MMM")</f>
        <v>Oct</v>
      </c>
    </row>
    <row r="174" spans="1:1" x14ac:dyDescent="0.3">
      <c r="A174" t="str">
        <f>TEXT(Raw_Data!B166,"MMM")</f>
        <v>Nov</v>
      </c>
    </row>
    <row r="175" spans="1:1" x14ac:dyDescent="0.3">
      <c r="A175" t="str">
        <f>TEXT(Raw_Data!B167,"MMM")</f>
        <v>Nov</v>
      </c>
    </row>
    <row r="176" spans="1:1" x14ac:dyDescent="0.3">
      <c r="A176" t="str">
        <f>TEXT(Raw_Data!B168,"MMM")</f>
        <v>Nov</v>
      </c>
    </row>
    <row r="177" spans="1:1" x14ac:dyDescent="0.3">
      <c r="A177" t="str">
        <f>TEXT(Raw_Data!B169,"MMM")</f>
        <v>Nov</v>
      </c>
    </row>
    <row r="178" spans="1:1" x14ac:dyDescent="0.3">
      <c r="A178" t="str">
        <f>TEXT(Raw_Data!B170,"MMM")</f>
        <v>Nov</v>
      </c>
    </row>
    <row r="179" spans="1:1" x14ac:dyDescent="0.3">
      <c r="A179" t="str">
        <f>TEXT(Raw_Data!B171,"MMM")</f>
        <v>Nov</v>
      </c>
    </row>
    <row r="180" spans="1:1" x14ac:dyDescent="0.3">
      <c r="A180" t="str">
        <f>TEXT(Raw_Data!B172,"MMM")</f>
        <v>Nov</v>
      </c>
    </row>
    <row r="181" spans="1:1" x14ac:dyDescent="0.3">
      <c r="A181" t="str">
        <f>TEXT(Raw_Data!B173,"MMM")</f>
        <v>Nov</v>
      </c>
    </row>
    <row r="182" spans="1:1" x14ac:dyDescent="0.3">
      <c r="A182" t="str">
        <f>TEXT(Raw_Data!B174,"MMM")</f>
        <v>Nov</v>
      </c>
    </row>
    <row r="183" spans="1:1" x14ac:dyDescent="0.3">
      <c r="A183" t="str">
        <f>TEXT(Raw_Data!B175,"MMM")</f>
        <v>Nov</v>
      </c>
    </row>
    <row r="184" spans="1:1" x14ac:dyDescent="0.3">
      <c r="A184" t="str">
        <f>TEXT(Raw_Data!B176,"MMM")</f>
        <v>Nov</v>
      </c>
    </row>
    <row r="185" spans="1:1" x14ac:dyDescent="0.3">
      <c r="A185" t="str">
        <f>TEXT(Raw_Data!B177,"MMM")</f>
        <v>Nov</v>
      </c>
    </row>
    <row r="186" spans="1:1" x14ac:dyDescent="0.3">
      <c r="A186" t="str">
        <f>TEXT(Raw_Data!B178,"MMM")</f>
        <v>Nov</v>
      </c>
    </row>
    <row r="187" spans="1:1" x14ac:dyDescent="0.3">
      <c r="A187" t="str">
        <f>TEXT(Raw_Data!B179,"MMM")</f>
        <v>Nov</v>
      </c>
    </row>
    <row r="188" spans="1:1" x14ac:dyDescent="0.3">
      <c r="A188" t="str">
        <f>TEXT(Raw_Data!B180,"MMM")</f>
        <v>Nov</v>
      </c>
    </row>
    <row r="189" spans="1:1" x14ac:dyDescent="0.3">
      <c r="A189" t="str">
        <f>TEXT(Raw_Data!B181,"MMM")</f>
        <v>Nov</v>
      </c>
    </row>
    <row r="190" spans="1:1" x14ac:dyDescent="0.3">
      <c r="A190" t="str">
        <f>TEXT(Raw_Data!B182,"MMM")</f>
        <v>Nov</v>
      </c>
    </row>
    <row r="191" spans="1:1" x14ac:dyDescent="0.3">
      <c r="A191" t="str">
        <f>TEXT(Raw_Data!B183,"MMM")</f>
        <v>Nov</v>
      </c>
    </row>
    <row r="192" spans="1:1" x14ac:dyDescent="0.3">
      <c r="A192" t="str">
        <f>TEXT(Raw_Data!B184,"MMM")</f>
        <v>Nov</v>
      </c>
    </row>
    <row r="193" spans="1:1" x14ac:dyDescent="0.3">
      <c r="A193" t="str">
        <f>TEXT(Raw_Data!B185,"MMM")</f>
        <v>Nov</v>
      </c>
    </row>
    <row r="194" spans="1:1" x14ac:dyDescent="0.3">
      <c r="A194" t="str">
        <f>TEXT(Raw_Data!B186,"MMM")</f>
        <v>Nov</v>
      </c>
    </row>
    <row r="195" spans="1:1" x14ac:dyDescent="0.3">
      <c r="A195" t="str">
        <f>TEXT(Raw_Data!B187,"MMM")</f>
        <v>Nov</v>
      </c>
    </row>
    <row r="196" spans="1:1" x14ac:dyDescent="0.3">
      <c r="A196" t="str">
        <f>TEXT(Raw_Data!B188,"MMM")</f>
        <v>Nov</v>
      </c>
    </row>
    <row r="197" spans="1:1" x14ac:dyDescent="0.3">
      <c r="A197" t="str">
        <f>TEXT(Raw_Data!B189,"MMM")</f>
        <v>Nov</v>
      </c>
    </row>
    <row r="198" spans="1:1" x14ac:dyDescent="0.3">
      <c r="A198" t="str">
        <f>TEXT(Raw_Data!B190,"MMM")</f>
        <v>Nov</v>
      </c>
    </row>
    <row r="199" spans="1:1" x14ac:dyDescent="0.3">
      <c r="A199" t="str">
        <f>TEXT(Raw_Data!B191,"MMM")</f>
        <v>Nov</v>
      </c>
    </row>
    <row r="200" spans="1:1" x14ac:dyDescent="0.3">
      <c r="A200" t="str">
        <f>TEXT(Raw_Data!B192,"MMM")</f>
        <v>Nov</v>
      </c>
    </row>
    <row r="201" spans="1:1" x14ac:dyDescent="0.3">
      <c r="A201" t="str">
        <f>TEXT(Raw_Data!B193,"MMM")</f>
        <v>Nov</v>
      </c>
    </row>
    <row r="202" spans="1:1" x14ac:dyDescent="0.3">
      <c r="A202" t="str">
        <f>TEXT(Raw_Data!B194,"MMM")</f>
        <v>Nov</v>
      </c>
    </row>
    <row r="203" spans="1:1" x14ac:dyDescent="0.3">
      <c r="A203" t="str">
        <f>TEXT(Raw_Data!B195,"MMM")</f>
        <v>Nov</v>
      </c>
    </row>
    <row r="204" spans="1:1" x14ac:dyDescent="0.3">
      <c r="A204" t="str">
        <f>TEXT(Raw_Data!B196,"MMM")</f>
        <v>Nov</v>
      </c>
    </row>
    <row r="205" spans="1:1" x14ac:dyDescent="0.3">
      <c r="A205" t="str">
        <f>TEXT(Raw_Data!B197,"MMM")</f>
        <v>Nov</v>
      </c>
    </row>
    <row r="206" spans="1:1" x14ac:dyDescent="0.3">
      <c r="A206" t="str">
        <f>TEXT(Raw_Data!B198,"MMM")</f>
        <v>Nov</v>
      </c>
    </row>
    <row r="207" spans="1:1" x14ac:dyDescent="0.3">
      <c r="A207" t="str">
        <f>TEXT(Raw_Data!B199,"MMM")</f>
        <v>Nov</v>
      </c>
    </row>
    <row r="208" spans="1:1" x14ac:dyDescent="0.3">
      <c r="A208" t="str">
        <f>TEXT(Raw_Data!B200,"MMM")</f>
        <v>Nov</v>
      </c>
    </row>
    <row r="209" spans="1:1" x14ac:dyDescent="0.3">
      <c r="A209" t="str">
        <f>TEXT(Raw_Data!B201,"MMM")</f>
        <v>Nov</v>
      </c>
    </row>
    <row r="210" spans="1:1" x14ac:dyDescent="0.3">
      <c r="A210" t="str">
        <f>TEXT(Raw_Data!B202,"MMM")</f>
        <v>Nov</v>
      </c>
    </row>
    <row r="211" spans="1:1" x14ac:dyDescent="0.3">
      <c r="A211" t="str">
        <f>TEXT(Raw_Data!B203,"MMM")</f>
        <v>Nov</v>
      </c>
    </row>
    <row r="212" spans="1:1" x14ac:dyDescent="0.3">
      <c r="A212" t="str">
        <f>TEXT(Raw_Data!B204,"MMM")</f>
        <v>Nov</v>
      </c>
    </row>
    <row r="213" spans="1:1" x14ac:dyDescent="0.3">
      <c r="A213" t="str">
        <f>TEXT(Raw_Data!B205,"MMM")</f>
        <v>Nov</v>
      </c>
    </row>
    <row r="214" spans="1:1" x14ac:dyDescent="0.3">
      <c r="A214" t="str">
        <f>TEXT(Raw_Data!B206,"MMM")</f>
        <v>Nov</v>
      </c>
    </row>
    <row r="215" spans="1:1" x14ac:dyDescent="0.3">
      <c r="A215" t="str">
        <f>TEXT(Raw_Data!B207,"MMM")</f>
        <v>Nov</v>
      </c>
    </row>
    <row r="216" spans="1:1" x14ac:dyDescent="0.3">
      <c r="A216" t="str">
        <f>TEXT(Raw_Data!B208,"MMM")</f>
        <v>Nov</v>
      </c>
    </row>
    <row r="217" spans="1:1" x14ac:dyDescent="0.3">
      <c r="A217" t="str">
        <f>TEXT(Raw_Data!B209,"MMM")</f>
        <v>Nov</v>
      </c>
    </row>
    <row r="218" spans="1:1" x14ac:dyDescent="0.3">
      <c r="A218" t="str">
        <f>TEXT(Raw_Data!B210,"MMM")</f>
        <v>Nov</v>
      </c>
    </row>
    <row r="219" spans="1:1" x14ac:dyDescent="0.3">
      <c r="A219" t="str">
        <f>TEXT(Raw_Data!B211,"MMM")</f>
        <v>Nov</v>
      </c>
    </row>
    <row r="220" spans="1:1" x14ac:dyDescent="0.3">
      <c r="A220" t="str">
        <f>TEXT(Raw_Data!B212,"MMM")</f>
        <v>Nov</v>
      </c>
    </row>
    <row r="221" spans="1:1" x14ac:dyDescent="0.3">
      <c r="A221" t="str">
        <f>TEXT(Raw_Data!B213,"MMM")</f>
        <v>Nov</v>
      </c>
    </row>
    <row r="222" spans="1:1" x14ac:dyDescent="0.3">
      <c r="A222" t="str">
        <f>TEXT(Raw_Data!B214,"MMM")</f>
        <v>Nov</v>
      </c>
    </row>
    <row r="223" spans="1:1" x14ac:dyDescent="0.3">
      <c r="A223" t="str">
        <f>TEXT(Raw_Data!B215,"MMM")</f>
        <v>Nov</v>
      </c>
    </row>
    <row r="224" spans="1:1" x14ac:dyDescent="0.3">
      <c r="A224" t="str">
        <f>TEXT(Raw_Data!B216,"MMM")</f>
        <v>Nov</v>
      </c>
    </row>
    <row r="225" spans="1:1" x14ac:dyDescent="0.3">
      <c r="A225" t="str">
        <f>TEXT(Raw_Data!B217,"MMM")</f>
        <v>Nov</v>
      </c>
    </row>
    <row r="226" spans="1:1" x14ac:dyDescent="0.3">
      <c r="A226" t="str">
        <f>TEXT(Raw_Data!B218,"MMM")</f>
        <v>Nov</v>
      </c>
    </row>
    <row r="227" spans="1:1" x14ac:dyDescent="0.3">
      <c r="A227" t="str">
        <f>TEXT(Raw_Data!B219,"MMM")</f>
        <v>Nov</v>
      </c>
    </row>
    <row r="228" spans="1:1" x14ac:dyDescent="0.3">
      <c r="A228" t="str">
        <f>TEXT(Raw_Data!B220,"MMM")</f>
        <v>Nov</v>
      </c>
    </row>
    <row r="229" spans="1:1" x14ac:dyDescent="0.3">
      <c r="A229" t="str">
        <f>TEXT(Raw_Data!B221,"MMM")</f>
        <v>Nov</v>
      </c>
    </row>
    <row r="230" spans="1:1" x14ac:dyDescent="0.3">
      <c r="A230" t="str">
        <f>TEXT(Raw_Data!B222,"MMM")</f>
        <v>Nov</v>
      </c>
    </row>
    <row r="231" spans="1:1" x14ac:dyDescent="0.3">
      <c r="A231" t="str">
        <f>TEXT(Raw_Data!B223,"MMM")</f>
        <v>Nov</v>
      </c>
    </row>
    <row r="232" spans="1:1" x14ac:dyDescent="0.3">
      <c r="A232" t="str">
        <f>TEXT(Raw_Data!B224,"MMM")</f>
        <v>Nov</v>
      </c>
    </row>
    <row r="233" spans="1:1" x14ac:dyDescent="0.3">
      <c r="A233" t="str">
        <f>TEXT(Raw_Data!B225,"MMM")</f>
        <v>Nov</v>
      </c>
    </row>
    <row r="234" spans="1:1" x14ac:dyDescent="0.3">
      <c r="A234" t="str">
        <f>TEXT(Raw_Data!B226,"MMM")</f>
        <v>Nov</v>
      </c>
    </row>
    <row r="235" spans="1:1" x14ac:dyDescent="0.3">
      <c r="A235" t="str">
        <f>TEXT(Raw_Data!B227,"MMM")</f>
        <v>Dec</v>
      </c>
    </row>
    <row r="236" spans="1:1" x14ac:dyDescent="0.3">
      <c r="A236" t="str">
        <f>TEXT(Raw_Data!B228,"MMM")</f>
        <v>Dec</v>
      </c>
    </row>
    <row r="237" spans="1:1" x14ac:dyDescent="0.3">
      <c r="A237" t="str">
        <f>TEXT(Raw_Data!B229,"MMM")</f>
        <v>Dec</v>
      </c>
    </row>
    <row r="238" spans="1:1" x14ac:dyDescent="0.3">
      <c r="A238" t="str">
        <f>TEXT(Raw_Data!B230,"MMM")</f>
        <v>Dec</v>
      </c>
    </row>
    <row r="239" spans="1:1" x14ac:dyDescent="0.3">
      <c r="A239" t="str">
        <f>TEXT(Raw_Data!B231,"MMM")</f>
        <v>Dec</v>
      </c>
    </row>
    <row r="240" spans="1:1" x14ac:dyDescent="0.3">
      <c r="A240" t="str">
        <f>TEXT(Raw_Data!B232,"MMM")</f>
        <v>Dec</v>
      </c>
    </row>
    <row r="241" spans="1:1" x14ac:dyDescent="0.3">
      <c r="A241" t="str">
        <f>TEXT(Raw_Data!B233,"MMM")</f>
        <v>Dec</v>
      </c>
    </row>
    <row r="242" spans="1:1" x14ac:dyDescent="0.3">
      <c r="A242" t="str">
        <f>TEXT(Raw_Data!B234,"MMM")</f>
        <v>Dec</v>
      </c>
    </row>
    <row r="243" spans="1:1" x14ac:dyDescent="0.3">
      <c r="A243" t="str">
        <f>TEXT(Raw_Data!B235,"MMM")</f>
        <v>Dec</v>
      </c>
    </row>
    <row r="244" spans="1:1" x14ac:dyDescent="0.3">
      <c r="A244" t="str">
        <f>TEXT(Raw_Data!B236,"MMM")</f>
        <v>Dec</v>
      </c>
    </row>
    <row r="245" spans="1:1" x14ac:dyDescent="0.3">
      <c r="A245" t="str">
        <f>TEXT(Raw_Data!B237,"MMM")</f>
        <v>Dec</v>
      </c>
    </row>
    <row r="246" spans="1:1" x14ac:dyDescent="0.3">
      <c r="A246" t="str">
        <f>TEXT(Raw_Data!B238,"MMM")</f>
        <v>Dec</v>
      </c>
    </row>
    <row r="247" spans="1:1" x14ac:dyDescent="0.3">
      <c r="A247" t="str">
        <f>TEXT(Raw_Data!B239,"MMM")</f>
        <v>Dec</v>
      </c>
    </row>
    <row r="248" spans="1:1" x14ac:dyDescent="0.3">
      <c r="A248" t="str">
        <f>TEXT(Raw_Data!B240,"MMM")</f>
        <v>Dec</v>
      </c>
    </row>
    <row r="249" spans="1:1" x14ac:dyDescent="0.3">
      <c r="A249" t="str">
        <f>TEXT(Raw_Data!B241,"MMM")</f>
        <v>Dec</v>
      </c>
    </row>
    <row r="250" spans="1:1" x14ac:dyDescent="0.3">
      <c r="A250" t="str">
        <f>TEXT(Raw_Data!B242,"MMM")</f>
        <v>Dec</v>
      </c>
    </row>
    <row r="251" spans="1:1" x14ac:dyDescent="0.3">
      <c r="A251" t="str">
        <f>TEXT(Raw_Data!B243,"MMM")</f>
        <v>Dec</v>
      </c>
    </row>
    <row r="252" spans="1:1" x14ac:dyDescent="0.3">
      <c r="A252" t="str">
        <f>TEXT(Raw_Data!B244,"MMM")</f>
        <v>Dec</v>
      </c>
    </row>
    <row r="253" spans="1:1" x14ac:dyDescent="0.3">
      <c r="A253" t="str">
        <f>TEXT(Raw_Data!B245,"MMM")</f>
        <v>Dec</v>
      </c>
    </row>
    <row r="254" spans="1:1" x14ac:dyDescent="0.3">
      <c r="A254" t="str">
        <f>TEXT(Raw_Data!B246,"MMM")</f>
        <v>Dec</v>
      </c>
    </row>
    <row r="255" spans="1:1" x14ac:dyDescent="0.3">
      <c r="A255" t="str">
        <f>TEXT(Raw_Data!B247,"MMM")</f>
        <v>Dec</v>
      </c>
    </row>
    <row r="256" spans="1:1" x14ac:dyDescent="0.3">
      <c r="A256" t="str">
        <f>TEXT(Raw_Data!B248,"MMM")</f>
        <v>Dec</v>
      </c>
    </row>
    <row r="257" spans="1:1" x14ac:dyDescent="0.3">
      <c r="A257" t="str">
        <f>TEXT(Raw_Data!B249,"MMM")</f>
        <v>Dec</v>
      </c>
    </row>
    <row r="258" spans="1:1" x14ac:dyDescent="0.3">
      <c r="A258" t="str">
        <f>TEXT(Raw_Data!B250,"MMM")</f>
        <v>Dec</v>
      </c>
    </row>
    <row r="259" spans="1:1" x14ac:dyDescent="0.3">
      <c r="A259" t="str">
        <f>TEXT(Raw_Data!B251,"MMM")</f>
        <v>Dec</v>
      </c>
    </row>
    <row r="260" spans="1:1" x14ac:dyDescent="0.3">
      <c r="A260" t="str">
        <f>TEXT(Raw_Data!B252,"MMM")</f>
        <v>Dec</v>
      </c>
    </row>
    <row r="261" spans="1:1" x14ac:dyDescent="0.3">
      <c r="A261" t="str">
        <f>TEXT(Raw_Data!B253,"MMM")</f>
        <v>Dec</v>
      </c>
    </row>
    <row r="262" spans="1:1" x14ac:dyDescent="0.3">
      <c r="A262" t="str">
        <f>TEXT(Raw_Data!B254,"MMM")</f>
        <v>Dec</v>
      </c>
    </row>
    <row r="263" spans="1:1" x14ac:dyDescent="0.3">
      <c r="A263" t="str">
        <f>TEXT(Raw_Data!B255,"MMM")</f>
        <v>Dec</v>
      </c>
    </row>
    <row r="264" spans="1:1" x14ac:dyDescent="0.3">
      <c r="A264" t="str">
        <f>TEXT(Raw_Data!B256,"MMM")</f>
        <v>Dec</v>
      </c>
    </row>
    <row r="265" spans="1:1" x14ac:dyDescent="0.3">
      <c r="A265" t="str">
        <f>TEXT(Raw_Data!B257,"MMM")</f>
        <v>Dec</v>
      </c>
    </row>
    <row r="266" spans="1:1" x14ac:dyDescent="0.3">
      <c r="A266" t="str">
        <f>TEXT(Raw_Data!B258,"MMM")</f>
        <v>Dec</v>
      </c>
    </row>
    <row r="267" spans="1:1" x14ac:dyDescent="0.3">
      <c r="A267" t="str">
        <f>TEXT(Raw_Data!B259,"MMM")</f>
        <v>Dec</v>
      </c>
    </row>
    <row r="268" spans="1:1" x14ac:dyDescent="0.3">
      <c r="A268" t="str">
        <f>TEXT(Raw_Data!B260,"MMM")</f>
        <v>Dec</v>
      </c>
    </row>
    <row r="269" spans="1:1" x14ac:dyDescent="0.3">
      <c r="A269" t="str">
        <f>TEXT(Raw_Data!B261,"MMM")</f>
        <v>Dec</v>
      </c>
    </row>
    <row r="270" spans="1:1" x14ac:dyDescent="0.3">
      <c r="A270" t="str">
        <f>TEXT(Raw_Data!B262,"MMM")</f>
        <v>Dec</v>
      </c>
    </row>
    <row r="271" spans="1:1" x14ac:dyDescent="0.3">
      <c r="A271" t="str">
        <f>TEXT(Raw_Data!B263,"MMM")</f>
        <v>Dec</v>
      </c>
    </row>
    <row r="272" spans="1:1" x14ac:dyDescent="0.3">
      <c r="A272" t="str">
        <f>TEXT(Raw_Data!B264,"MMM")</f>
        <v>Dec</v>
      </c>
    </row>
    <row r="273" spans="1:1" x14ac:dyDescent="0.3">
      <c r="A273" t="str">
        <f>TEXT(Raw_Data!B265,"MMM")</f>
        <v>Dec</v>
      </c>
    </row>
    <row r="274" spans="1:1" x14ac:dyDescent="0.3">
      <c r="A274" t="str">
        <f>TEXT(Raw_Data!B266,"MMM")</f>
        <v>Dec</v>
      </c>
    </row>
    <row r="275" spans="1:1" x14ac:dyDescent="0.3">
      <c r="A275" t="str">
        <f>TEXT(Raw_Data!B267,"MMM")</f>
        <v>Dec</v>
      </c>
    </row>
    <row r="276" spans="1:1" x14ac:dyDescent="0.3">
      <c r="A276" t="str">
        <f>TEXT(Raw_Data!B268,"MMM")</f>
        <v>Dec</v>
      </c>
    </row>
    <row r="277" spans="1:1" x14ac:dyDescent="0.3">
      <c r="A277" t="str">
        <f>TEXT(Raw_Data!B269,"MMM")</f>
        <v>Dec</v>
      </c>
    </row>
    <row r="278" spans="1:1" x14ac:dyDescent="0.3">
      <c r="A278" t="str">
        <f>TEXT(Raw_Data!B270,"MMM")</f>
        <v>Dec</v>
      </c>
    </row>
    <row r="279" spans="1:1" x14ac:dyDescent="0.3">
      <c r="A279" t="str">
        <f>TEXT(Raw_Data!B271,"MMM")</f>
        <v>Dec</v>
      </c>
    </row>
    <row r="280" spans="1:1" x14ac:dyDescent="0.3">
      <c r="A280" t="str">
        <f>TEXT(Raw_Data!B272,"MMM")</f>
        <v>Dec</v>
      </c>
    </row>
    <row r="281" spans="1:1" x14ac:dyDescent="0.3">
      <c r="A281" t="str">
        <f>TEXT(Raw_Data!B273,"MMM")</f>
        <v>Dec</v>
      </c>
    </row>
    <row r="282" spans="1:1" x14ac:dyDescent="0.3">
      <c r="A282" t="str">
        <f>TEXT(Raw_Data!B274,"MMM")</f>
        <v>Dec</v>
      </c>
    </row>
    <row r="283" spans="1:1" x14ac:dyDescent="0.3">
      <c r="A283" t="str">
        <f>TEXT(Raw_Data!B275,"MMM")</f>
        <v>Dec</v>
      </c>
    </row>
    <row r="284" spans="1:1" x14ac:dyDescent="0.3">
      <c r="A284" t="str">
        <f>TEXT(Raw_Data!B276,"MMM")</f>
        <v>Dec</v>
      </c>
    </row>
    <row r="285" spans="1:1" x14ac:dyDescent="0.3">
      <c r="A285" t="str">
        <f>TEXT(Raw_Data!B277,"MMM")</f>
        <v>Dec</v>
      </c>
    </row>
    <row r="286" spans="1:1" x14ac:dyDescent="0.3">
      <c r="A286" t="str">
        <f>TEXT(Raw_Data!B278,"MMM")</f>
        <v>Dec</v>
      </c>
    </row>
    <row r="287" spans="1:1" x14ac:dyDescent="0.3">
      <c r="A287" t="str">
        <f>TEXT(Raw_Data!B279,"MMM")</f>
        <v>Dec</v>
      </c>
    </row>
    <row r="288" spans="1:1" x14ac:dyDescent="0.3">
      <c r="A288" t="str">
        <f>TEXT(Raw_Data!B280,"MMM")</f>
        <v>Dec</v>
      </c>
    </row>
    <row r="289" spans="1:1" x14ac:dyDescent="0.3">
      <c r="A289" t="str">
        <f>TEXT(Raw_Data!B281,"MMM")</f>
        <v>Dec</v>
      </c>
    </row>
    <row r="290" spans="1:1" x14ac:dyDescent="0.3">
      <c r="A290" t="str">
        <f>TEXT(Raw_Data!B282,"MMM")</f>
        <v>Dec</v>
      </c>
    </row>
    <row r="291" spans="1:1" x14ac:dyDescent="0.3">
      <c r="A291" t="str">
        <f>TEXT(Raw_Data!B283,"MMM")</f>
        <v>Dec</v>
      </c>
    </row>
    <row r="292" spans="1:1" x14ac:dyDescent="0.3">
      <c r="A292" t="str">
        <f>TEXT(Raw_Data!B284,"MMM")</f>
        <v>Dec</v>
      </c>
    </row>
    <row r="293" spans="1:1" x14ac:dyDescent="0.3">
      <c r="A293" t="str">
        <f>TEXT(Raw_Data!B285,"MMM")</f>
        <v>Dec</v>
      </c>
    </row>
    <row r="294" spans="1:1" x14ac:dyDescent="0.3">
      <c r="A294" t="str">
        <f>TEXT(Raw_Data!B286,"MMM")</f>
        <v>Dec</v>
      </c>
    </row>
    <row r="295" spans="1:1" x14ac:dyDescent="0.3">
      <c r="A295" t="str">
        <f>TEXT(Raw_Data!B287,"MMM")</f>
        <v>Dec</v>
      </c>
    </row>
    <row r="296" spans="1:1" x14ac:dyDescent="0.3">
      <c r="A296" t="str">
        <f>TEXT(Raw_Data!B288,"MMM")</f>
        <v>Dec</v>
      </c>
    </row>
    <row r="297" spans="1:1" x14ac:dyDescent="0.3">
      <c r="A297" t="str">
        <f>TEXT(Raw_Data!B289,"MMM")</f>
        <v>Dec</v>
      </c>
    </row>
    <row r="298" spans="1:1" x14ac:dyDescent="0.3">
      <c r="A298" t="str">
        <f>TEXT(Raw_Data!B290,"MMM")</f>
        <v>Dec</v>
      </c>
    </row>
    <row r="299" spans="1:1" x14ac:dyDescent="0.3">
      <c r="A299" t="str">
        <f>TEXT(Raw_Data!B291,"MMM")</f>
        <v>Dec</v>
      </c>
    </row>
    <row r="300" spans="1:1" x14ac:dyDescent="0.3">
      <c r="A300" t="str">
        <f>TEXT(Raw_Data!B292,"MMM")</f>
        <v>Dec</v>
      </c>
    </row>
    <row r="301" spans="1:1" x14ac:dyDescent="0.3">
      <c r="A301" t="str">
        <f>TEXT(Raw_Data!B293,"MMM")</f>
        <v>Dec</v>
      </c>
    </row>
    <row r="302" spans="1:1" x14ac:dyDescent="0.3">
      <c r="A302" t="str">
        <f>TEXT(Raw_Data!B294,"MMM")</f>
        <v>Dec</v>
      </c>
    </row>
    <row r="303" spans="1:1" x14ac:dyDescent="0.3">
      <c r="A303" t="str">
        <f>TEXT(Raw_Data!B295,"MMM")</f>
        <v>Dec</v>
      </c>
    </row>
    <row r="304" spans="1:1" x14ac:dyDescent="0.3">
      <c r="A304" t="str">
        <f>TEXT(Raw_Data!B296,"MMM")</f>
        <v>Dec</v>
      </c>
    </row>
    <row r="305" spans="1:1" x14ac:dyDescent="0.3">
      <c r="A305" t="str">
        <f>TEXT(Raw_Data!B297,"MMM")</f>
        <v>Dec</v>
      </c>
    </row>
    <row r="306" spans="1:1" x14ac:dyDescent="0.3">
      <c r="A306" t="str">
        <f>TEXT(Raw_Data!B298,"MMM")</f>
        <v>Dec</v>
      </c>
    </row>
    <row r="307" spans="1:1" x14ac:dyDescent="0.3">
      <c r="A307" t="str">
        <f>TEXT(Raw_Data!B299,"MMM")</f>
        <v>Dec</v>
      </c>
    </row>
    <row r="308" spans="1:1" x14ac:dyDescent="0.3">
      <c r="A308" t="str">
        <f>TEXT(Raw_Data!B300,"MMM")</f>
        <v>Dec</v>
      </c>
    </row>
    <row r="309" spans="1:1" x14ac:dyDescent="0.3">
      <c r="A309" t="str">
        <f>TEXT(Raw_Data!B301,"MMM")</f>
        <v>Dec</v>
      </c>
    </row>
    <row r="310" spans="1:1" x14ac:dyDescent="0.3">
      <c r="A310" t="str">
        <f>TEXT(Raw_Data!B302,"MMM")</f>
        <v>Dec</v>
      </c>
    </row>
    <row r="311" spans="1:1" x14ac:dyDescent="0.3">
      <c r="A311" t="str">
        <f>TEXT(Raw_Data!B303,"MMM")</f>
        <v>Dec</v>
      </c>
    </row>
    <row r="312" spans="1:1" x14ac:dyDescent="0.3">
      <c r="A312" t="str">
        <f>TEXT(Raw_Data!B304,"MMM")</f>
        <v>Dec</v>
      </c>
    </row>
    <row r="313" spans="1:1" x14ac:dyDescent="0.3">
      <c r="A313" t="str">
        <f>TEXT(Raw_Data!B305,"MMM")</f>
        <v>Dec</v>
      </c>
    </row>
    <row r="314" spans="1:1" x14ac:dyDescent="0.3">
      <c r="A314" t="str">
        <f>TEXT(Raw_Data!B306,"MMM")</f>
        <v>Dec</v>
      </c>
    </row>
    <row r="315" spans="1:1" x14ac:dyDescent="0.3">
      <c r="A315" t="str">
        <f>TEXT(Raw_Data!B307,"MMM")</f>
        <v>Dec</v>
      </c>
    </row>
    <row r="316" spans="1:1" x14ac:dyDescent="0.3">
      <c r="A316" t="str">
        <f>TEXT(Raw_Data!B308,"MMM")</f>
        <v>Dec</v>
      </c>
    </row>
    <row r="317" spans="1:1" x14ac:dyDescent="0.3">
      <c r="A317" t="str">
        <f>TEXT(Raw_Data!B309,"MMM")</f>
        <v>Dec</v>
      </c>
    </row>
    <row r="318" spans="1:1" x14ac:dyDescent="0.3">
      <c r="A318" t="str">
        <f>TEXT(Raw_Data!B310,"MMM")</f>
        <v>Dec</v>
      </c>
    </row>
    <row r="319" spans="1:1" x14ac:dyDescent="0.3">
      <c r="A319" t="str">
        <f>TEXT(Raw_Data!B311,"MMM")</f>
        <v>Dec</v>
      </c>
    </row>
    <row r="320" spans="1:1" x14ac:dyDescent="0.3">
      <c r="A320" t="str">
        <f>TEXT(Raw_Data!B312,"MMM")</f>
        <v>Dec</v>
      </c>
    </row>
    <row r="321" spans="1:1" x14ac:dyDescent="0.3">
      <c r="A321" t="str">
        <f>TEXT(Raw_Data!B313,"MMM")</f>
        <v>Dec</v>
      </c>
    </row>
    <row r="322" spans="1:1" x14ac:dyDescent="0.3">
      <c r="A322" t="str">
        <f>TEXT(Raw_Data!B314,"MMM")</f>
        <v>Dec</v>
      </c>
    </row>
    <row r="323" spans="1:1" x14ac:dyDescent="0.3">
      <c r="A323" t="str">
        <f>TEXT(Raw_Data!B315,"MMM")</f>
        <v>Dec</v>
      </c>
    </row>
    <row r="324" spans="1:1" x14ac:dyDescent="0.3">
      <c r="A324" t="str">
        <f>TEXT(Raw_Data!B316,"MMM")</f>
        <v>Dec</v>
      </c>
    </row>
    <row r="325" spans="1:1" x14ac:dyDescent="0.3">
      <c r="A325" t="str">
        <f>TEXT(Raw_Data!B317,"MMM")</f>
        <v>Dec</v>
      </c>
    </row>
    <row r="326" spans="1:1" x14ac:dyDescent="0.3">
      <c r="A326" t="str">
        <f>TEXT(Raw_Data!B318,"MMM")</f>
        <v>Dec</v>
      </c>
    </row>
    <row r="327" spans="1:1" x14ac:dyDescent="0.3">
      <c r="A327" t="str">
        <f>TEXT(Raw_Data!B319,"MMM")</f>
        <v>Dec</v>
      </c>
    </row>
    <row r="328" spans="1:1" x14ac:dyDescent="0.3">
      <c r="A328" t="str">
        <f>TEXT(Raw_Data!B320,"MMM")</f>
        <v>Dec</v>
      </c>
    </row>
    <row r="329" spans="1:1" x14ac:dyDescent="0.3">
      <c r="A329" t="str">
        <f>TEXT(Raw_Data!B321,"MMM")</f>
        <v>Dec</v>
      </c>
    </row>
    <row r="330" spans="1:1" x14ac:dyDescent="0.3">
      <c r="A330" t="str">
        <f>TEXT(Raw_Data!B322,"MMM")</f>
        <v>Dec</v>
      </c>
    </row>
    <row r="331" spans="1:1" x14ac:dyDescent="0.3">
      <c r="A331" t="str">
        <f>TEXT(Raw_Data!B323,"MMM")</f>
        <v>Dec</v>
      </c>
    </row>
    <row r="332" spans="1:1" x14ac:dyDescent="0.3">
      <c r="A332" t="str">
        <f>TEXT(Raw_Data!B324,"MMM")</f>
        <v>Dec</v>
      </c>
    </row>
    <row r="333" spans="1:1" x14ac:dyDescent="0.3">
      <c r="A333" t="str">
        <f>TEXT(Raw_Data!B325,"MMM")</f>
        <v>Dec</v>
      </c>
    </row>
    <row r="334" spans="1:1" x14ac:dyDescent="0.3">
      <c r="A334" t="str">
        <f>TEXT(Raw_Data!B326,"MMM")</f>
        <v>Dec</v>
      </c>
    </row>
    <row r="335" spans="1:1" x14ac:dyDescent="0.3">
      <c r="A335" t="str">
        <f>TEXT(Raw_Data!B327,"MMM")</f>
        <v>Dec</v>
      </c>
    </row>
    <row r="336" spans="1:1" x14ac:dyDescent="0.3">
      <c r="A336" t="str">
        <f>TEXT(Raw_Data!B328,"MMM")</f>
        <v>Dec</v>
      </c>
    </row>
    <row r="337" spans="1:1" x14ac:dyDescent="0.3">
      <c r="A337" t="str">
        <f>TEXT(Raw_Data!B329,"MMM")</f>
        <v>Dec</v>
      </c>
    </row>
    <row r="338" spans="1:1" x14ac:dyDescent="0.3">
      <c r="A338" t="str">
        <f>TEXT(Raw_Data!B330,"MMM")</f>
        <v>Dec</v>
      </c>
    </row>
    <row r="339" spans="1:1" x14ac:dyDescent="0.3">
      <c r="A339" t="str">
        <f>TEXT(Raw_Data!B331,"MMM")</f>
        <v>Dec</v>
      </c>
    </row>
    <row r="340" spans="1:1" x14ac:dyDescent="0.3">
      <c r="A340" t="str">
        <f>TEXT(Raw_Data!B332,"MMM")</f>
        <v>Dec</v>
      </c>
    </row>
    <row r="341" spans="1:1" x14ac:dyDescent="0.3">
      <c r="A341" t="str">
        <f>TEXT(Raw_Data!B333,"MMM")</f>
        <v>Dec</v>
      </c>
    </row>
    <row r="342" spans="1:1" x14ac:dyDescent="0.3">
      <c r="A342" t="str">
        <f>TEXT(Raw_Data!B334,"MMM")</f>
        <v>Dec</v>
      </c>
    </row>
    <row r="343" spans="1:1" x14ac:dyDescent="0.3">
      <c r="A343" t="str">
        <f>TEXT(Raw_Data!B335,"MMM")</f>
        <v>Dec</v>
      </c>
    </row>
    <row r="344" spans="1:1" x14ac:dyDescent="0.3">
      <c r="A344" t="str">
        <f>TEXT(Raw_Data!B336,"MMM")</f>
        <v>Dec</v>
      </c>
    </row>
    <row r="345" spans="1:1" x14ac:dyDescent="0.3">
      <c r="A345" t="str">
        <f>TEXT(Raw_Data!B337,"MMM")</f>
        <v>Dec</v>
      </c>
    </row>
    <row r="346" spans="1:1" x14ac:dyDescent="0.3">
      <c r="A346" t="str">
        <f>TEXT(Raw_Data!B338,"MMM")</f>
        <v>Dec</v>
      </c>
    </row>
    <row r="347" spans="1:1" x14ac:dyDescent="0.3">
      <c r="A347" t="str">
        <f>TEXT(Raw_Data!B339,"MMM")</f>
        <v>Dec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F0E0F-F3D2-4B79-A37E-9DF330C40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Cleaning_Log</vt:lpstr>
      <vt:lpstr>Validation</vt:lpstr>
      <vt:lpstr>Weekly_Combo_Data</vt:lpstr>
      <vt:lpstr>Customer_Analysis</vt:lpstr>
      <vt:lpstr>Category_Analysis</vt:lpstr>
      <vt:lpstr>Viz_1_Weekly_Returns</vt:lpstr>
      <vt:lpstr>Viz_2_Category</vt:lpstr>
      <vt:lpstr>Viz_3_Return_Reasons</vt:lpstr>
      <vt:lpstr>Viz_4_Customer_Source</vt:lpstr>
      <vt:lpstr>Viz_5_Payment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Moupiya Das</dc:creator>
  <cp:lastModifiedBy>Moupiya Das</cp:lastModifiedBy>
  <dcterms:created xsi:type="dcterms:W3CDTF">2026-02-04T08:09:06Z</dcterms:created>
  <dcterms:modified xsi:type="dcterms:W3CDTF">2026-02-05T04:54:07Z</dcterms:modified>
</cp:coreProperties>
</file>